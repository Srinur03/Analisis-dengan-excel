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hidePivotFieldList="1" defaultThemeVersion="166925"/>
  <mc:AlternateContent xmlns:mc="http://schemas.openxmlformats.org/markup-compatibility/2006">
    <mc:Choice Requires="x15">
      <x15ac:absPath xmlns:x15ac="http://schemas.microsoft.com/office/spreadsheetml/2010/11/ac" url="C:\Users\ACER\Documents\.Sri Nur Marshella\CV\"/>
    </mc:Choice>
  </mc:AlternateContent>
  <xr:revisionPtr revIDLastSave="0" documentId="13_ncr:1_{F353134C-DAF7-4094-8069-E32C963F5878}" xr6:coauthVersionLast="47" xr6:coauthVersionMax="47" xr10:uidLastSave="{00000000-0000-0000-0000-000000000000}"/>
  <bookViews>
    <workbookView xWindow="-120" yWindow="-120" windowWidth="20730" windowHeight="11040" activeTab="1" xr2:uid="{DE74B0E6-16E9-4697-B6FA-73BB6075DAB4}"/>
  </bookViews>
  <sheets>
    <sheet name="day" sheetId="2" r:id="rId1"/>
    <sheet name="Dashboard" sheetId="6" r:id="rId2"/>
    <sheet name="Bulan" sheetId="5" r:id="rId3"/>
    <sheet name="Musim" sheetId="4" r:id="rId4"/>
    <sheet name="Hari1" sheetId="7" r:id="rId5"/>
    <sheet name="Hari" sheetId="1" r:id="rId6"/>
    <sheet name="Lembar1" sheetId="8" r:id="rId7"/>
  </sheets>
  <definedNames>
    <definedName name="data_jumlah">Bulan!$A$1:$E$16</definedName>
    <definedName name="ExternalData_1" localSheetId="0" hidden="1">day!$A$1:$O$732</definedName>
    <definedName name="Pemotong_mnth">#N/A</definedName>
    <definedName name="Pemotong_season">#N/A</definedName>
    <definedName name="Pemotong_workingday">#N/A</definedName>
    <definedName name="Pemotong_yr">#N/A</definedName>
  </definedNames>
  <calcPr calcId="191029"/>
  <pivotCaches>
    <pivotCache cacheId="0" r:id="rId8"/>
  </pivotCaches>
  <fileRecoveryPr repairLoad="1"/>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4" i="1" l="1"/>
  <c r="K4" i="1"/>
  <c r="K5" i="1"/>
  <c r="K6" i="1"/>
  <c r="K7" i="1"/>
  <c r="K8" i="1"/>
  <c r="K9" i="1"/>
  <c r="K10" i="1"/>
  <c r="J5" i="1"/>
  <c r="J6" i="1"/>
  <c r="J7" i="1"/>
  <c r="J8" i="1"/>
  <c r="J9" i="1"/>
  <c r="J10" i="1"/>
  <c r="H4" i="1"/>
  <c r="H5" i="1"/>
  <c r="H6" i="1"/>
  <c r="H7" i="1"/>
  <c r="H8" i="1"/>
  <c r="H9" i="1"/>
  <c r="H10" i="1"/>
  <c r="G4" i="1"/>
  <c r="G5" i="1"/>
  <c r="G6" i="1"/>
  <c r="G7" i="1"/>
  <c r="G8" i="1"/>
  <c r="G9" i="1"/>
  <c r="G10" i="1"/>
  <c r="K5" i="6"/>
  <c r="E5"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95FC01-C087-4E00-A785-61F23C12C066}" keepAlive="1" name="Kueri - day" description="Sambungan ke kueri 'day' pada workbook." type="5" refreshedVersion="8" background="1" saveData="1">
    <dbPr connection="Provider=Microsoft.Mashup.OleDb.1;Data Source=$Workbook$;Location=day;Extended Properties=&quot;&quot;" command="SELECT * FROM [day]"/>
  </connection>
</connections>
</file>

<file path=xl/sharedStrings.xml><?xml version="1.0" encoding="utf-8"?>
<sst xmlns="http://schemas.openxmlformats.org/spreadsheetml/2006/main" count="87" uniqueCount="48">
  <si>
    <t>dteday</t>
  </si>
  <si>
    <t>season</t>
  </si>
  <si>
    <t>yr</t>
  </si>
  <si>
    <t>mnth</t>
  </si>
  <si>
    <t>holiday</t>
  </si>
  <si>
    <t>weekday</t>
  </si>
  <si>
    <t>workingday</t>
  </si>
  <si>
    <t>weathersit</t>
  </si>
  <si>
    <t>temp</t>
  </si>
  <si>
    <t>atemp</t>
  </si>
  <si>
    <t>hum</t>
  </si>
  <si>
    <t>windspeed</t>
  </si>
  <si>
    <t>casual</t>
  </si>
  <si>
    <t>registered</t>
  </si>
  <si>
    <t>cnt</t>
  </si>
  <si>
    <t>Q1</t>
  </si>
  <si>
    <t>Q3</t>
  </si>
  <si>
    <t>Median</t>
  </si>
  <si>
    <t>max</t>
  </si>
  <si>
    <t>min</t>
  </si>
  <si>
    <t>Kolom1</t>
  </si>
  <si>
    <t>whisker-</t>
  </si>
  <si>
    <t>whisker+</t>
  </si>
  <si>
    <t>2Q</t>
  </si>
  <si>
    <t>3Q</t>
  </si>
  <si>
    <t>Bottom</t>
  </si>
  <si>
    <t>(Semua)</t>
  </si>
  <si>
    <t>Label Baris</t>
  </si>
  <si>
    <t>Total Keseluruhan</t>
  </si>
  <si>
    <t>Jumlah sewa</t>
  </si>
  <si>
    <t>Rata-rata sewa</t>
  </si>
  <si>
    <t>Maks sewa</t>
  </si>
  <si>
    <t>Min sewa</t>
  </si>
  <si>
    <t>.</t>
  </si>
  <si>
    <t>PT 6</t>
  </si>
  <si>
    <t>MUSIM SELURUH</t>
  </si>
  <si>
    <t>BULAN TAHUN</t>
  </si>
  <si>
    <t>BULAN SAJA</t>
  </si>
  <si>
    <t>PT 10</t>
  </si>
  <si>
    <t>PT 8</t>
  </si>
  <si>
    <t>BULAN SELURUH</t>
  </si>
  <si>
    <t>MUSIM TABEL</t>
  </si>
  <si>
    <t>HARI SELURUH</t>
  </si>
  <si>
    <t>HARI TABEL</t>
  </si>
  <si>
    <t>PT 4</t>
  </si>
  <si>
    <t>PT 5</t>
  </si>
  <si>
    <t>PT 2</t>
  </si>
  <si>
    <t>PT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</si>
</sst>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1" formatCode="_-* #,##0_-;\-* #,##0_-;_-* &quot;-&quot;_-;_-@_-"/>
  </numFmts>
  <fonts count="6" x14ac:knownFonts="1">
    <font>
      <sz val="11"/>
      <color theme="1"/>
      <name val="Calibri"/>
      <family val="2"/>
      <scheme val="minor"/>
    </font>
    <font>
      <b/>
      <sz val="11"/>
      <color theme="0"/>
      <name val="Calibri"/>
      <family val="2"/>
      <scheme val="minor"/>
    </font>
    <font>
      <sz val="8"/>
      <name val="Calibri"/>
      <family val="2"/>
      <scheme val="minor"/>
    </font>
    <font>
      <sz val="11"/>
      <color theme="1"/>
      <name val="Calibri"/>
      <family val="2"/>
      <scheme val="minor"/>
    </font>
    <font>
      <sz val="22"/>
      <color theme="1"/>
      <name val="Calibri"/>
      <family val="2"/>
      <scheme val="minor"/>
    </font>
    <font>
      <sz val="24"/>
      <color theme="1"/>
      <name val="Calibri"/>
      <family val="2"/>
      <scheme val="minor"/>
    </font>
  </fonts>
  <fills count="7">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0"/>
        <bgColor indexed="64"/>
      </patternFill>
    </fill>
    <fill>
      <patternFill patternType="solid">
        <fgColor theme="8" tint="0.59999389629810485"/>
        <bgColor indexed="64"/>
      </patternFill>
    </fill>
    <fill>
      <patternFill patternType="solid">
        <fgColor theme="8" tint="0.39997558519241921"/>
        <bgColor indexed="64"/>
      </patternFill>
    </fill>
  </fills>
  <borders count="4">
    <border>
      <left/>
      <right/>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41" fontId="3" fillId="0" borderId="0" applyFont="0" applyFill="0" applyBorder="0" applyAlignment="0" applyProtection="0"/>
  </cellStyleXfs>
  <cellXfs count="15">
    <xf numFmtId="0" fontId="0" fillId="0" borderId="0" xfId="0"/>
    <xf numFmtId="14" fontId="0" fillId="0" borderId="0" xfId="0" applyNumberFormat="1"/>
    <xf numFmtId="0" fontId="0" fillId="3" borderId="1" xfId="0" applyFill="1" applyBorder="1"/>
    <xf numFmtId="0" fontId="0" fillId="0" borderId="1" xfId="0" applyBorder="1"/>
    <xf numFmtId="0" fontId="1" fillId="2" borderId="2" xfId="0" applyFont="1" applyFill="1" applyBorder="1"/>
    <xf numFmtId="0" fontId="0" fillId="3" borderId="3" xfId="0"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4" borderId="0" xfId="0" applyFill="1"/>
    <xf numFmtId="41" fontId="4" fillId="5" borderId="0" xfId="1" applyFont="1" applyFill="1"/>
    <xf numFmtId="41" fontId="5" fillId="5" borderId="0" xfId="1" applyFont="1" applyFill="1"/>
    <xf numFmtId="41" fontId="5" fillId="4" borderId="0" xfId="1" applyFont="1" applyFill="1"/>
    <xf numFmtId="0" fontId="0" fillId="6" borderId="0" xfId="0" applyFill="1" applyAlignment="1">
      <alignment horizontal="center"/>
    </xf>
    <xf numFmtId="0" fontId="0" fillId="0" borderId="0" xfId="0" applyNumberFormat="1"/>
  </cellXfs>
  <cellStyles count="2">
    <cellStyle name="Koma [0]" xfId="1" builtinId="6"/>
    <cellStyle name="Normal" xfId="0" builtinId="0"/>
  </cellStyles>
  <dxfs count="23">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numFmt numFmtId="0" formatCode="General"/>
    </dxf>
    <dxf>
      <numFmt numFmtId="0" formatCode="General"/>
    </dxf>
    <dxf>
      <numFmt numFmtId="0" formatCode="General"/>
    </dxf>
    <dxf>
      <numFmt numFmtId="0" formatCode="General"/>
    </dxf>
    <dxf>
      <numFmt numFmtId="19" formatCode="dd/mm/yyyy"/>
    </dxf>
  </dxfs>
  <tableStyles count="1" defaultTableStyle="TableStyleMedium2" defaultPivotStyle="PivotStyleLight16">
    <tableStyle name="Invisible" pivot="0" table="0" count="0" xr9:uid="{2489FAE9-7B99-44AE-9CBB-FA2810E752EA}"/>
  </tableStyles>
  <colors>
    <mruColors>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[porto excel.xlsx]Bulan!PivotTable8</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D" b="0" i="0">
                <a:effectLst/>
              </a:rPr>
              <a:t>Tren jumlah sewa sepeda per bulan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Bulan!$H$3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Bulan!$G$4:$G$16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Bulan!$H$4:$H$16</c:f>
              <c:numCache>
                <c:formatCode>General</c:formatCode>
                <c:ptCount val="12"/>
                <c:pt idx="0">
                  <c:v>96744</c:v>
                </c:pt>
                <c:pt idx="1">
                  <c:v>103137</c:v>
                </c:pt>
                <c:pt idx="2">
                  <c:v>164875</c:v>
                </c:pt>
                <c:pt idx="3">
                  <c:v>174224</c:v>
                </c:pt>
                <c:pt idx="4">
                  <c:v>195865</c:v>
                </c:pt>
                <c:pt idx="5">
                  <c:v>202830</c:v>
                </c:pt>
                <c:pt idx="6">
                  <c:v>203607</c:v>
                </c:pt>
                <c:pt idx="7">
                  <c:v>214503</c:v>
                </c:pt>
                <c:pt idx="8">
                  <c:v>218573</c:v>
                </c:pt>
                <c:pt idx="9">
                  <c:v>198841</c:v>
                </c:pt>
                <c:pt idx="10">
                  <c:v>152664</c:v>
                </c:pt>
                <c:pt idx="11">
                  <c:v>123713</c:v>
                </c:pt>
              </c:numCache>
            </c:numRef>
          </c:val>
          <c:smooth val="0"/>
          <c:extLst>
            <c:ext xmlns:c16="http://schemas.microsoft.com/office/drawing/2014/chart" uri="{C3380CC4-5D6E-409C-BE32-E72D297353CC}">
              <c16:uniqueId val="{00000000-EF02-4B09-9D83-BB347C528899}"/>
            </c:ext>
          </c:extLst>
        </c:ser>
        <c:dLbls>
          <c:showLegendKey val="0"/>
          <c:showVal val="0"/>
          <c:showCatName val="0"/>
          <c:showSerName val="0"/>
          <c:showPercent val="0"/>
          <c:showBubbleSize val="0"/>
        </c:dLbls>
        <c:marker val="1"/>
        <c:smooth val="0"/>
        <c:axId val="1939281343"/>
        <c:axId val="1926315919"/>
      </c:lineChart>
      <c:catAx>
        <c:axId val="19392813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Bulan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315919"/>
        <c:crosses val="autoZero"/>
        <c:auto val="1"/>
        <c:lblAlgn val="ctr"/>
        <c:lblOffset val="100"/>
        <c:noMultiLvlLbl val="0"/>
      </c:catAx>
      <c:valAx>
        <c:axId val="19263159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Judul Sewa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281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accent1">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[porto excel.xlsx]Bulan!PivotTable10</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D" sz="1400" b="0" i="0" u="none" strike="noStrike" kern="1200" spc="0" baseline="0">
                <a:solidFill>
                  <a:sysClr val="windowText" lastClr="000000">
                    <a:lumMod val="65000"/>
                    <a:lumOff val="35000"/>
                  </a:sysClr>
                </a:solidFill>
                <a:effectLst/>
              </a:rPr>
              <a:t>Tren jumlah sewa sepeda per bulan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Bulan!$B$18</c:f>
              <c:strCache>
                <c:ptCount val="1"/>
                <c:pt idx="0">
                  <c:v>Total</c:v>
                </c:pt>
              </c:strCache>
            </c:strRef>
          </c:tx>
          <c:spPr>
            <a:solidFill>
              <a:schemeClr val="accent2"/>
            </a:solidFill>
            <a:ln>
              <a:noFill/>
            </a:ln>
            <a:effectLst/>
          </c:spPr>
          <c:invertIfNegative val="0"/>
          <c:trendline>
            <c:spPr>
              <a:ln w="19050" cap="rnd">
                <a:solidFill>
                  <a:schemeClr val="accent2"/>
                </a:solidFill>
                <a:prstDash val="sysDot"/>
              </a:ln>
              <a:effectLst/>
            </c:spPr>
            <c:trendlineType val="linear"/>
            <c:dispRSqr val="0"/>
            <c:dispEq val="0"/>
          </c:trendline>
          <c:cat>
            <c:strRef>
              <c:f>Bulan!$A$19:$A$21</c:f>
              <c:strCache>
                <c:ptCount val="2"/>
                <c:pt idx="0">
                  <c:v>0</c:v>
                </c:pt>
                <c:pt idx="1">
                  <c:v>1</c:v>
                </c:pt>
              </c:strCache>
            </c:strRef>
          </c:cat>
          <c:val>
            <c:numRef>
              <c:f>Bulan!$B$19:$B$21</c:f>
              <c:numCache>
                <c:formatCode>General</c:formatCode>
                <c:ptCount val="2"/>
                <c:pt idx="0">
                  <c:v>1243103</c:v>
                </c:pt>
                <c:pt idx="1">
                  <c:v>2049576</c:v>
                </c:pt>
              </c:numCache>
            </c:numRef>
          </c:val>
          <c:extLst>
            <c:ext xmlns:c16="http://schemas.microsoft.com/office/drawing/2014/chart" uri="{C3380CC4-5D6E-409C-BE32-E72D297353CC}">
              <c16:uniqueId val="{00000001-8910-4FB6-A023-A934881589A3}"/>
            </c:ext>
          </c:extLst>
        </c:ser>
        <c:dLbls>
          <c:showLegendKey val="0"/>
          <c:showVal val="0"/>
          <c:showCatName val="0"/>
          <c:showSerName val="0"/>
          <c:showPercent val="0"/>
          <c:showBubbleSize val="0"/>
        </c:dLbls>
        <c:gapWidth val="219"/>
        <c:overlap val="-27"/>
        <c:axId val="1939251583"/>
        <c:axId val="1926273759"/>
      </c:barChart>
      <c:catAx>
        <c:axId val="19392515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Tahun</a:t>
                </a:r>
              </a:p>
              <a:p>
                <a:pPr>
                  <a:defRPr/>
                </a:pPr>
                <a:r>
                  <a:rPr lang="en-ID"/>
                  <a:t>0(2011) | 1(2012)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273759"/>
        <c:crosses val="autoZero"/>
        <c:auto val="1"/>
        <c:lblAlgn val="ctr"/>
        <c:lblOffset val="100"/>
        <c:noMultiLvlLbl val="0"/>
      </c:catAx>
      <c:valAx>
        <c:axId val="19262737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Jumlah Sewa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251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accent1">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[porto excel.xlsx]Musim!PivotTable5</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D" b="0" i="0">
                <a:effectLst/>
              </a:rPr>
              <a:t>Dampak musim terhadap pola penyewaan sepeda</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Musim!$H$3</c:f>
              <c:strCache>
                <c:ptCount val="1"/>
                <c:pt idx="0">
                  <c:v>Total</c:v>
                </c:pt>
              </c:strCache>
            </c:strRef>
          </c:tx>
          <c:spPr>
            <a:solidFill>
              <a:schemeClr val="accent2"/>
            </a:solidFill>
            <a:ln>
              <a:noFill/>
            </a:ln>
            <a:effectLst/>
          </c:spPr>
          <c:invertIfNegative val="0"/>
          <c:cat>
            <c:strRef>
              <c:f>Musim!$G$4:$G$8</c:f>
              <c:strCache>
                <c:ptCount val="4"/>
                <c:pt idx="0">
                  <c:v>1</c:v>
                </c:pt>
                <c:pt idx="1">
                  <c:v>2</c:v>
                </c:pt>
                <c:pt idx="2">
                  <c:v>3</c:v>
                </c:pt>
                <c:pt idx="3">
                  <c:v>4</c:v>
                </c:pt>
              </c:strCache>
            </c:strRef>
          </c:cat>
          <c:val>
            <c:numRef>
              <c:f>Musim!$H$4:$H$8</c:f>
              <c:numCache>
                <c:formatCode>General</c:formatCode>
                <c:ptCount val="4"/>
                <c:pt idx="0">
                  <c:v>3531.2967032967031</c:v>
                </c:pt>
                <c:pt idx="1">
                  <c:v>6209.489130434783</c:v>
                </c:pt>
                <c:pt idx="2">
                  <c:v>6824.244680851064</c:v>
                </c:pt>
                <c:pt idx="3">
                  <c:v>5791.8651685393261</c:v>
                </c:pt>
              </c:numCache>
            </c:numRef>
          </c:val>
          <c:extLst>
            <c:ext xmlns:c16="http://schemas.microsoft.com/office/drawing/2014/chart" uri="{C3380CC4-5D6E-409C-BE32-E72D297353CC}">
              <c16:uniqueId val="{00000000-5D8D-42C1-8E9D-CA594E515624}"/>
            </c:ext>
          </c:extLst>
        </c:ser>
        <c:dLbls>
          <c:showLegendKey val="0"/>
          <c:showVal val="0"/>
          <c:showCatName val="0"/>
          <c:showSerName val="0"/>
          <c:showPercent val="0"/>
          <c:showBubbleSize val="0"/>
        </c:dLbls>
        <c:gapWidth val="219"/>
        <c:overlap val="-27"/>
        <c:axId val="1052427759"/>
        <c:axId val="1897628079"/>
      </c:barChart>
      <c:catAx>
        <c:axId val="10524277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Musim</a:t>
                </a:r>
              </a:p>
              <a:p>
                <a:pPr>
                  <a:defRPr/>
                </a:pPr>
                <a:r>
                  <a:rPr lang="en-US"/>
                  <a:t>1(Semi) | 2(Panas)</a:t>
                </a:r>
                <a:r>
                  <a:rPr lang="en-US" baseline="0"/>
                  <a:t> | 3(Gugur) | 4(Dingin)</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628079"/>
        <c:crosses val="autoZero"/>
        <c:auto val="1"/>
        <c:lblAlgn val="ctr"/>
        <c:lblOffset val="100"/>
        <c:noMultiLvlLbl val="0"/>
      </c:catAx>
      <c:valAx>
        <c:axId val="18976280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Rata rata sewa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427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[porto excel.xlsx]Hari1!PivotTable3</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D" b="0" i="0">
                <a:effectLst/>
              </a:rPr>
              <a:t>Rata-Rata Sewaan Sepeda Berdasarkan Hari</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Hari1!$H$3</c:f>
              <c:strCache>
                <c:ptCount val="1"/>
                <c:pt idx="0">
                  <c:v>Total</c:v>
                </c:pt>
              </c:strCache>
            </c:strRef>
          </c:tx>
          <c:spPr>
            <a:solidFill>
              <a:schemeClr val="accent2"/>
            </a:solidFill>
            <a:ln>
              <a:noFill/>
            </a:ln>
            <a:effectLst/>
          </c:spPr>
          <c:invertIfNegative val="0"/>
          <c:cat>
            <c:strRef>
              <c:f>Hari1!$G$4:$G$11</c:f>
              <c:strCache>
                <c:ptCount val="7"/>
                <c:pt idx="0">
                  <c:v>0</c:v>
                </c:pt>
                <c:pt idx="1">
                  <c:v>1</c:v>
                </c:pt>
                <c:pt idx="2">
                  <c:v>2</c:v>
                </c:pt>
                <c:pt idx="3">
                  <c:v>3</c:v>
                </c:pt>
                <c:pt idx="4">
                  <c:v>4</c:v>
                </c:pt>
                <c:pt idx="5">
                  <c:v>5</c:v>
                </c:pt>
                <c:pt idx="6">
                  <c:v>6</c:v>
                </c:pt>
              </c:strCache>
            </c:strRef>
          </c:cat>
          <c:val>
            <c:numRef>
              <c:f>Hari1!$H$4:$H$11</c:f>
              <c:numCache>
                <c:formatCode>General</c:formatCode>
                <c:ptCount val="7"/>
                <c:pt idx="0">
                  <c:v>5036.8490566037735</c:v>
                </c:pt>
                <c:pt idx="1">
                  <c:v>5194</c:v>
                </c:pt>
                <c:pt idx="2">
                  <c:v>5553.2884615384619</c:v>
                </c:pt>
                <c:pt idx="3">
                  <c:v>5843.8269230769229</c:v>
                </c:pt>
                <c:pt idx="4">
                  <c:v>5977.75</c:v>
                </c:pt>
                <c:pt idx="5">
                  <c:v>5880.4615384615381</c:v>
                </c:pt>
                <c:pt idx="6">
                  <c:v>5732</c:v>
                </c:pt>
              </c:numCache>
            </c:numRef>
          </c:val>
          <c:extLst>
            <c:ext xmlns:c16="http://schemas.microsoft.com/office/drawing/2014/chart" uri="{C3380CC4-5D6E-409C-BE32-E72D297353CC}">
              <c16:uniqueId val="{00000000-3CB0-441B-9574-D46A197C3A10}"/>
            </c:ext>
          </c:extLst>
        </c:ser>
        <c:dLbls>
          <c:showLegendKey val="0"/>
          <c:showVal val="0"/>
          <c:showCatName val="0"/>
          <c:showSerName val="0"/>
          <c:showPercent val="0"/>
          <c:showBubbleSize val="0"/>
        </c:dLbls>
        <c:gapWidth val="219"/>
        <c:overlap val="-27"/>
        <c:axId val="1939266463"/>
        <c:axId val="1897607247"/>
      </c:barChart>
      <c:catAx>
        <c:axId val="19392664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Hari</a:t>
                </a:r>
              </a:p>
              <a:p>
                <a:pPr>
                  <a:defRPr/>
                </a:pPr>
                <a:r>
                  <a:rPr lang="en-ID"/>
                  <a:t>0(Senin) | 1(Selasa) | 2(Rabu) | 3(Kamis)</a:t>
                </a:r>
                <a:r>
                  <a:rPr lang="en-ID" baseline="0"/>
                  <a:t> | 4(Jum'at) | 5(Sabtu) | 6(Minggu)</a:t>
                </a:r>
                <a:endParaRPr lang="en-ID"/>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607247"/>
        <c:crosses val="autoZero"/>
        <c:auto val="1"/>
        <c:lblAlgn val="ctr"/>
        <c:lblOffset val="100"/>
        <c:noMultiLvlLbl val="0"/>
      </c:catAx>
      <c:valAx>
        <c:axId val="1897607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Rata rata sewa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266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b="0" i="0">
                <a:effectLst/>
              </a:rPr>
              <a:t>Distribusi Sewaan Sepeda Berdasarkan Hari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1"/>
          <c:tx>
            <c:strRef>
              <c:f>Hari!$B$12</c:f>
              <c:strCache>
                <c:ptCount val="1"/>
                <c:pt idx="0">
                  <c:v>Bottom</c:v>
                </c:pt>
              </c:strCache>
            </c:strRef>
          </c:tx>
          <c:spPr>
            <a:noFill/>
            <a:ln>
              <a:noFill/>
            </a:ln>
            <a:effectLst/>
          </c:spPr>
          <c:invertIfNegative val="0"/>
          <c:errBars>
            <c:errBarType val="minus"/>
            <c:errValType val="cust"/>
            <c:noEndCap val="0"/>
            <c:plus>
              <c:numLit>
                <c:formatCode>General</c:formatCode>
                <c:ptCount val="1"/>
                <c:pt idx="0">
                  <c:v>1</c:v>
                </c:pt>
              </c:numLit>
            </c:plus>
            <c:minus>
              <c:numRef>
                <c:f>Hari!$G$4:$G$10</c:f>
                <c:numCache>
                  <c:formatCode>General</c:formatCode>
                  <c:ptCount val="7"/>
                  <c:pt idx="0">
                    <c:v>2313</c:v>
                  </c:pt>
                  <c:pt idx="1">
                    <c:v>3288</c:v>
                  </c:pt>
                  <c:pt idx="2">
                    <c:v>2896.25</c:v>
                  </c:pt>
                  <c:pt idx="3">
                    <c:v>2212.25</c:v>
                  </c:pt>
                  <c:pt idx="4">
                    <c:v>2839.75</c:v>
                  </c:pt>
                  <c:pt idx="5">
                    <c:v>2223.75</c:v>
                  </c:pt>
                  <c:pt idx="6">
                    <c:v>2105</c:v>
                  </c:pt>
                </c:numCache>
              </c:numRef>
            </c:minus>
            <c:spPr>
              <a:noFill/>
              <a:ln w="9525" cap="flat" cmpd="sng" algn="ctr">
                <a:solidFill>
                  <a:schemeClr val="tx1">
                    <a:lumMod val="65000"/>
                    <a:lumOff val="35000"/>
                  </a:schemeClr>
                </a:solidFill>
                <a:round/>
              </a:ln>
              <a:effectLst/>
            </c:spPr>
          </c:errBars>
          <c:cat>
            <c:numRef>
              <c:f>Hari!$A$13:$A$19</c:f>
              <c:numCache>
                <c:formatCode>General</c:formatCode>
                <c:ptCount val="7"/>
                <c:pt idx="0">
                  <c:v>0</c:v>
                </c:pt>
                <c:pt idx="1">
                  <c:v>1</c:v>
                </c:pt>
                <c:pt idx="2">
                  <c:v>2</c:v>
                </c:pt>
                <c:pt idx="3">
                  <c:v>3</c:v>
                </c:pt>
                <c:pt idx="4">
                  <c:v>4</c:v>
                </c:pt>
                <c:pt idx="5">
                  <c:v>5</c:v>
                </c:pt>
                <c:pt idx="6">
                  <c:v>6</c:v>
                </c:pt>
              </c:numCache>
            </c:numRef>
          </c:cat>
          <c:val>
            <c:numRef>
              <c:f>Hari!$B$13:$B$19</c:f>
              <c:numCache>
                <c:formatCode>General</c:formatCode>
                <c:ptCount val="7"/>
                <c:pt idx="0">
                  <c:v>2918</c:v>
                </c:pt>
                <c:pt idx="1">
                  <c:v>3310</c:v>
                </c:pt>
                <c:pt idx="2">
                  <c:v>3579.25</c:v>
                </c:pt>
                <c:pt idx="3">
                  <c:v>2653.25</c:v>
                </c:pt>
                <c:pt idx="4">
                  <c:v>3270.75</c:v>
                </c:pt>
                <c:pt idx="5">
                  <c:v>3390.75</c:v>
                </c:pt>
                <c:pt idx="6">
                  <c:v>2732</c:v>
                </c:pt>
              </c:numCache>
            </c:numRef>
          </c:val>
          <c:extLst>
            <c:ext xmlns:c16="http://schemas.microsoft.com/office/drawing/2014/chart" uri="{C3380CC4-5D6E-409C-BE32-E72D297353CC}">
              <c16:uniqueId val="{00000000-C8D3-4054-BFB5-EFB76D76346D}"/>
            </c:ext>
          </c:extLst>
        </c:ser>
        <c:ser>
          <c:idx val="2"/>
          <c:order val="2"/>
          <c:tx>
            <c:strRef>
              <c:f>Hari!$C$12</c:f>
              <c:strCache>
                <c:ptCount val="1"/>
                <c:pt idx="0">
                  <c:v>2Q</c:v>
                </c:pt>
              </c:strCache>
            </c:strRef>
          </c:tx>
          <c:spPr>
            <a:solidFill>
              <a:schemeClr val="accent4">
                <a:lumMod val="60000"/>
                <a:lumOff val="40000"/>
              </a:schemeClr>
            </a:solidFill>
            <a:ln>
              <a:noFill/>
            </a:ln>
            <a:effectLst/>
          </c:spPr>
          <c:invertIfNegative val="0"/>
          <c:cat>
            <c:numRef>
              <c:f>Hari!$A$13:$A$19</c:f>
              <c:numCache>
                <c:formatCode>General</c:formatCode>
                <c:ptCount val="7"/>
                <c:pt idx="0">
                  <c:v>0</c:v>
                </c:pt>
                <c:pt idx="1">
                  <c:v>1</c:v>
                </c:pt>
                <c:pt idx="2">
                  <c:v>2</c:v>
                </c:pt>
                <c:pt idx="3">
                  <c:v>3</c:v>
                </c:pt>
                <c:pt idx="4">
                  <c:v>4</c:v>
                </c:pt>
                <c:pt idx="5">
                  <c:v>5</c:v>
                </c:pt>
                <c:pt idx="6">
                  <c:v>6</c:v>
                </c:pt>
              </c:numCache>
            </c:numRef>
          </c:cat>
          <c:val>
            <c:numRef>
              <c:f>Hari!$C$13:$C$19</c:f>
              <c:numCache>
                <c:formatCode>General</c:formatCode>
                <c:ptCount val="7"/>
                <c:pt idx="0">
                  <c:v>1416</c:v>
                </c:pt>
                <c:pt idx="1">
                  <c:v>1049</c:v>
                </c:pt>
                <c:pt idx="2">
                  <c:v>997.25</c:v>
                </c:pt>
                <c:pt idx="3">
                  <c:v>1989.25</c:v>
                </c:pt>
                <c:pt idx="4">
                  <c:v>1450.25</c:v>
                </c:pt>
                <c:pt idx="5">
                  <c:v>1210.75</c:v>
                </c:pt>
                <c:pt idx="6">
                  <c:v>1789</c:v>
                </c:pt>
              </c:numCache>
            </c:numRef>
          </c:val>
          <c:extLst>
            <c:ext xmlns:c16="http://schemas.microsoft.com/office/drawing/2014/chart" uri="{C3380CC4-5D6E-409C-BE32-E72D297353CC}">
              <c16:uniqueId val="{00000001-C8D3-4054-BFB5-EFB76D76346D}"/>
            </c:ext>
          </c:extLst>
        </c:ser>
        <c:ser>
          <c:idx val="3"/>
          <c:order val="3"/>
          <c:tx>
            <c:strRef>
              <c:f>Hari!$D$12</c:f>
              <c:strCache>
                <c:ptCount val="1"/>
                <c:pt idx="0">
                  <c:v>3Q</c:v>
                </c:pt>
              </c:strCache>
            </c:strRef>
          </c:tx>
          <c:spPr>
            <a:solidFill>
              <a:schemeClr val="accent4"/>
            </a:solidFill>
            <a:ln>
              <a:noFill/>
            </a:ln>
            <a:effectLst/>
          </c:spPr>
          <c:invertIfNegative val="0"/>
          <c:errBars>
            <c:errBarType val="plus"/>
            <c:errValType val="cust"/>
            <c:noEndCap val="0"/>
            <c:plus>
              <c:numRef>
                <c:f>Hari!$H$4:$H$10</c:f>
                <c:numCache>
                  <c:formatCode>General</c:formatCode>
                  <c:ptCount val="7"/>
                  <c:pt idx="0">
                    <c:v>2763</c:v>
                  </c:pt>
                  <c:pt idx="1">
                    <c:v>1650</c:v>
                  </c:pt>
                  <c:pt idx="2">
                    <c:v>1998</c:v>
                  </c:pt>
                  <c:pt idx="3">
                    <c:v>1997.25</c:v>
                  </c:pt>
                  <c:pt idx="4">
                    <c:v>1518</c:v>
                  </c:pt>
                  <c:pt idx="5">
                    <c:v>2461.5</c:v>
                  </c:pt>
                  <c:pt idx="6">
                    <c:v>2574</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numRef>
              <c:f>Hari!$A$13:$A$19</c:f>
              <c:numCache>
                <c:formatCode>General</c:formatCode>
                <c:ptCount val="7"/>
                <c:pt idx="0">
                  <c:v>0</c:v>
                </c:pt>
                <c:pt idx="1">
                  <c:v>1</c:v>
                </c:pt>
                <c:pt idx="2">
                  <c:v>2</c:v>
                </c:pt>
                <c:pt idx="3">
                  <c:v>3</c:v>
                </c:pt>
                <c:pt idx="4">
                  <c:v>4</c:v>
                </c:pt>
                <c:pt idx="5">
                  <c:v>5</c:v>
                </c:pt>
                <c:pt idx="6">
                  <c:v>6</c:v>
                </c:pt>
              </c:numCache>
            </c:numRef>
          </c:cat>
          <c:val>
            <c:numRef>
              <c:f>Hari!$D$13:$D$19</c:f>
              <c:numCache>
                <c:formatCode>General</c:formatCode>
                <c:ptCount val="7"/>
                <c:pt idx="0">
                  <c:v>1130</c:v>
                </c:pt>
                <c:pt idx="1">
                  <c:v>1516</c:v>
                </c:pt>
                <c:pt idx="2">
                  <c:v>1192.5</c:v>
                </c:pt>
                <c:pt idx="3">
                  <c:v>1533.25</c:v>
                </c:pt>
                <c:pt idx="4">
                  <c:v>1565</c:v>
                </c:pt>
                <c:pt idx="5">
                  <c:v>1299</c:v>
                </c:pt>
                <c:pt idx="6">
                  <c:v>1619</c:v>
                </c:pt>
              </c:numCache>
            </c:numRef>
          </c:val>
          <c:extLst>
            <c:ext xmlns:c16="http://schemas.microsoft.com/office/drawing/2014/chart" uri="{C3380CC4-5D6E-409C-BE32-E72D297353CC}">
              <c16:uniqueId val="{00000002-C8D3-4054-BFB5-EFB76D76346D}"/>
            </c:ext>
          </c:extLst>
        </c:ser>
        <c:dLbls>
          <c:showLegendKey val="0"/>
          <c:showVal val="0"/>
          <c:showCatName val="0"/>
          <c:showSerName val="0"/>
          <c:showPercent val="0"/>
          <c:showBubbleSize val="0"/>
        </c:dLbls>
        <c:gapWidth val="150"/>
        <c:overlap val="100"/>
        <c:axId val="1142915167"/>
        <c:axId val="1923574847"/>
        <c:extLst>
          <c:ext xmlns:c15="http://schemas.microsoft.com/office/drawing/2012/chart" uri="{02D57815-91ED-43cb-92C2-25804820EDAC}">
            <c15:filteredBarSeries>
              <c15:ser>
                <c:idx val="0"/>
                <c:order val="0"/>
                <c:tx>
                  <c:strRef>
                    <c:extLst>
                      <c:ext uri="{02D57815-91ED-43cb-92C2-25804820EDAC}">
                        <c15:formulaRef>
                          <c15:sqref>Hari!$A$12</c15:sqref>
                        </c15:formulaRef>
                      </c:ext>
                    </c:extLst>
                    <c:strCache>
                      <c:ptCount val="1"/>
                      <c:pt idx="0">
                        <c:v>Kolom1</c:v>
                      </c:pt>
                    </c:strCache>
                  </c:strRef>
                </c:tx>
                <c:spPr>
                  <a:solidFill>
                    <a:schemeClr val="accent1"/>
                  </a:solidFill>
                  <a:ln>
                    <a:noFill/>
                  </a:ln>
                  <a:effectLst/>
                </c:spPr>
                <c:invertIfNegative val="0"/>
                <c:cat>
                  <c:numRef>
                    <c:extLst>
                      <c:ext uri="{02D57815-91ED-43cb-92C2-25804820EDAC}">
                        <c15:formulaRef>
                          <c15:sqref>Hari!$A$13:$A$19</c15:sqref>
                        </c15:formulaRef>
                      </c:ext>
                    </c:extLst>
                    <c:numCache>
                      <c:formatCode>General</c:formatCode>
                      <c:ptCount val="7"/>
                      <c:pt idx="0">
                        <c:v>0</c:v>
                      </c:pt>
                      <c:pt idx="1">
                        <c:v>1</c:v>
                      </c:pt>
                      <c:pt idx="2">
                        <c:v>2</c:v>
                      </c:pt>
                      <c:pt idx="3">
                        <c:v>3</c:v>
                      </c:pt>
                      <c:pt idx="4">
                        <c:v>4</c:v>
                      </c:pt>
                      <c:pt idx="5">
                        <c:v>5</c:v>
                      </c:pt>
                      <c:pt idx="6">
                        <c:v>6</c:v>
                      </c:pt>
                    </c:numCache>
                  </c:numRef>
                </c:cat>
                <c:val>
                  <c:numRef>
                    <c:extLst>
                      <c:ext uri="{02D57815-91ED-43cb-92C2-25804820EDAC}">
                        <c15:formulaRef>
                          <c15:sqref>Hari!$A$13:$A$19</c15:sqref>
                        </c15:formulaRef>
                      </c:ext>
                    </c:extLst>
                    <c:numCache>
                      <c:formatCode>General</c:formatCode>
                      <c:ptCount val="7"/>
                      <c:pt idx="0">
                        <c:v>0</c:v>
                      </c:pt>
                      <c:pt idx="1">
                        <c:v>1</c:v>
                      </c:pt>
                      <c:pt idx="2">
                        <c:v>2</c:v>
                      </c:pt>
                      <c:pt idx="3">
                        <c:v>3</c:v>
                      </c:pt>
                      <c:pt idx="4">
                        <c:v>4</c:v>
                      </c:pt>
                      <c:pt idx="5">
                        <c:v>5</c:v>
                      </c:pt>
                      <c:pt idx="6">
                        <c:v>6</c:v>
                      </c:pt>
                    </c:numCache>
                  </c:numRef>
                </c:val>
                <c:extLst>
                  <c:ext xmlns:c16="http://schemas.microsoft.com/office/drawing/2014/chart" uri="{C3380CC4-5D6E-409C-BE32-E72D297353CC}">
                    <c16:uniqueId val="{00000003-C8D3-4054-BFB5-EFB76D76346D}"/>
                  </c:ext>
                </c:extLst>
              </c15:ser>
            </c15:filteredBarSeries>
          </c:ext>
        </c:extLst>
      </c:barChart>
      <c:catAx>
        <c:axId val="11429151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Hari</a:t>
                </a:r>
              </a:p>
              <a:p>
                <a:pPr>
                  <a:defRPr/>
                </a:pPr>
                <a:r>
                  <a:rPr lang="en-ID"/>
                  <a:t>0(Senin) | 1(Selasa) | 2(Rabu) | 3(Kamis)</a:t>
                </a:r>
                <a:r>
                  <a:rPr lang="en-ID" baseline="0"/>
                  <a:t> | 4(Jum'at) | 5(Sabtu) | 6(Minggu)</a:t>
                </a:r>
                <a:endParaRPr lang="en-ID"/>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574847"/>
        <c:crosses val="autoZero"/>
        <c:auto val="1"/>
        <c:lblAlgn val="ctr"/>
        <c:lblOffset val="100"/>
        <c:noMultiLvlLbl val="0"/>
      </c:catAx>
      <c:valAx>
        <c:axId val="19235748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Sewa Sepeda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915167"/>
        <c:crosses val="autoZero"/>
        <c:crossBetween val="between"/>
        <c:majorUnit val="2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[porto excel.xlsx]Bulan!PivotTable8</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D" b="0" i="0">
                <a:effectLst/>
              </a:rPr>
              <a:t>Tren jumlah sewa sepeda per bulan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Bulan!$H$3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Bulan!$G$4:$G$16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Bulan!$H$4:$H$16</c:f>
              <c:numCache>
                <c:formatCode>General</c:formatCode>
                <c:ptCount val="12"/>
                <c:pt idx="0">
                  <c:v>96744</c:v>
                </c:pt>
                <c:pt idx="1">
                  <c:v>103137</c:v>
                </c:pt>
                <c:pt idx="2">
                  <c:v>164875</c:v>
                </c:pt>
                <c:pt idx="3">
                  <c:v>174224</c:v>
                </c:pt>
                <c:pt idx="4">
                  <c:v>195865</c:v>
                </c:pt>
                <c:pt idx="5">
                  <c:v>202830</c:v>
                </c:pt>
                <c:pt idx="6">
                  <c:v>203607</c:v>
                </c:pt>
                <c:pt idx="7">
                  <c:v>214503</c:v>
                </c:pt>
                <c:pt idx="8">
                  <c:v>218573</c:v>
                </c:pt>
                <c:pt idx="9">
                  <c:v>198841</c:v>
                </c:pt>
                <c:pt idx="10">
                  <c:v>152664</c:v>
                </c:pt>
                <c:pt idx="11">
                  <c:v>123713</c:v>
                </c:pt>
              </c:numCache>
            </c:numRef>
          </c:val>
          <c:smooth val="0"/>
          <c:extLst>
            <c:ext xmlns:c16="http://schemas.microsoft.com/office/drawing/2014/chart" uri="{C3380CC4-5D6E-409C-BE32-E72D297353CC}">
              <c16:uniqueId val="{00000000-64B7-402B-8E58-1BB39DFE3A6F}"/>
            </c:ext>
          </c:extLst>
        </c:ser>
        <c:dLbls>
          <c:showLegendKey val="0"/>
          <c:showVal val="0"/>
          <c:showCatName val="0"/>
          <c:showSerName val="0"/>
          <c:showPercent val="0"/>
          <c:showBubbleSize val="0"/>
        </c:dLbls>
        <c:marker val="1"/>
        <c:smooth val="0"/>
        <c:axId val="1939281343"/>
        <c:axId val="1926315919"/>
      </c:lineChart>
      <c:catAx>
        <c:axId val="19392813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Bulan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315919"/>
        <c:crosses val="autoZero"/>
        <c:auto val="1"/>
        <c:lblAlgn val="ctr"/>
        <c:lblOffset val="100"/>
        <c:noMultiLvlLbl val="0"/>
      </c:catAx>
      <c:valAx>
        <c:axId val="19263159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Judul Sewa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281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[porto excel.xlsx]Bulan!PivotTable10</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D" sz="1400" b="0" i="0" u="none" strike="noStrike" kern="1200" spc="0" baseline="0">
                <a:solidFill>
                  <a:sysClr val="windowText" lastClr="000000">
                    <a:lumMod val="65000"/>
                    <a:lumOff val="35000"/>
                  </a:sysClr>
                </a:solidFill>
                <a:effectLst/>
              </a:rPr>
              <a:t>Tren jumlah sewa sepeda per bulan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Bulan!$B$18</c:f>
              <c:strCache>
                <c:ptCount val="1"/>
                <c:pt idx="0">
                  <c:v>Total</c:v>
                </c:pt>
              </c:strCache>
            </c:strRef>
          </c:tx>
          <c:spPr>
            <a:solidFill>
              <a:schemeClr val="accent2"/>
            </a:solidFill>
            <a:ln>
              <a:noFill/>
            </a:ln>
            <a:effectLst/>
          </c:spPr>
          <c:invertIfNegative val="0"/>
          <c:trendline>
            <c:spPr>
              <a:ln w="19050" cap="rnd">
                <a:solidFill>
                  <a:schemeClr val="accent2"/>
                </a:solidFill>
                <a:prstDash val="sysDot"/>
              </a:ln>
              <a:effectLst/>
            </c:spPr>
            <c:trendlineType val="linear"/>
            <c:dispRSqr val="0"/>
            <c:dispEq val="0"/>
          </c:trendline>
          <c:cat>
            <c:strRef>
              <c:f>Bulan!$A$19:$A$21</c:f>
              <c:strCache>
                <c:ptCount val="2"/>
                <c:pt idx="0">
                  <c:v>0</c:v>
                </c:pt>
                <c:pt idx="1">
                  <c:v>1</c:v>
                </c:pt>
              </c:strCache>
            </c:strRef>
          </c:cat>
          <c:val>
            <c:numRef>
              <c:f>Bulan!$B$19:$B$21</c:f>
              <c:numCache>
                <c:formatCode>General</c:formatCode>
                <c:ptCount val="2"/>
                <c:pt idx="0">
                  <c:v>1243103</c:v>
                </c:pt>
                <c:pt idx="1">
                  <c:v>2049576</c:v>
                </c:pt>
              </c:numCache>
            </c:numRef>
          </c:val>
          <c:extLst>
            <c:ext xmlns:c16="http://schemas.microsoft.com/office/drawing/2014/chart" uri="{C3380CC4-5D6E-409C-BE32-E72D297353CC}">
              <c16:uniqueId val="{00000000-A4D9-429C-8270-E0A151E659F6}"/>
            </c:ext>
          </c:extLst>
        </c:ser>
        <c:dLbls>
          <c:showLegendKey val="0"/>
          <c:showVal val="0"/>
          <c:showCatName val="0"/>
          <c:showSerName val="0"/>
          <c:showPercent val="0"/>
          <c:showBubbleSize val="0"/>
        </c:dLbls>
        <c:gapWidth val="219"/>
        <c:overlap val="-27"/>
        <c:axId val="1939251583"/>
        <c:axId val="1926273759"/>
      </c:barChart>
      <c:catAx>
        <c:axId val="193925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273759"/>
        <c:crosses val="autoZero"/>
        <c:auto val="1"/>
        <c:lblAlgn val="ctr"/>
        <c:lblOffset val="100"/>
        <c:noMultiLvlLbl val="0"/>
      </c:catAx>
      <c:valAx>
        <c:axId val="1926273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251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[porto excel.xlsx]Musim!PivotTable5</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D" b="0" i="0">
                <a:effectLst/>
              </a:rPr>
              <a:t>Dampak musim terhadap pola penyewaan sepeda</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Musim!$H$3</c:f>
              <c:strCache>
                <c:ptCount val="1"/>
                <c:pt idx="0">
                  <c:v>Total</c:v>
                </c:pt>
              </c:strCache>
            </c:strRef>
          </c:tx>
          <c:spPr>
            <a:solidFill>
              <a:schemeClr val="accent2"/>
            </a:solidFill>
            <a:ln>
              <a:noFill/>
            </a:ln>
            <a:effectLst/>
          </c:spPr>
          <c:invertIfNegative val="0"/>
          <c:cat>
            <c:strRef>
              <c:f>Musim!$G$4:$G$8</c:f>
              <c:strCache>
                <c:ptCount val="4"/>
                <c:pt idx="0">
                  <c:v>1</c:v>
                </c:pt>
                <c:pt idx="1">
                  <c:v>2</c:v>
                </c:pt>
                <c:pt idx="2">
                  <c:v>3</c:v>
                </c:pt>
                <c:pt idx="3">
                  <c:v>4</c:v>
                </c:pt>
              </c:strCache>
            </c:strRef>
          </c:cat>
          <c:val>
            <c:numRef>
              <c:f>Musim!$H$4:$H$8</c:f>
              <c:numCache>
                <c:formatCode>General</c:formatCode>
                <c:ptCount val="4"/>
                <c:pt idx="0">
                  <c:v>3531.2967032967031</c:v>
                </c:pt>
                <c:pt idx="1">
                  <c:v>6209.489130434783</c:v>
                </c:pt>
                <c:pt idx="2">
                  <c:v>6824.244680851064</c:v>
                </c:pt>
                <c:pt idx="3">
                  <c:v>5791.8651685393261</c:v>
                </c:pt>
              </c:numCache>
            </c:numRef>
          </c:val>
          <c:extLst>
            <c:ext xmlns:c16="http://schemas.microsoft.com/office/drawing/2014/chart" uri="{C3380CC4-5D6E-409C-BE32-E72D297353CC}">
              <c16:uniqueId val="{00000000-05BE-43AD-A3F0-2E3887951129}"/>
            </c:ext>
          </c:extLst>
        </c:ser>
        <c:dLbls>
          <c:showLegendKey val="0"/>
          <c:showVal val="0"/>
          <c:showCatName val="0"/>
          <c:showSerName val="0"/>
          <c:showPercent val="0"/>
          <c:showBubbleSize val="0"/>
        </c:dLbls>
        <c:gapWidth val="219"/>
        <c:overlap val="-27"/>
        <c:axId val="1052427759"/>
        <c:axId val="1897628079"/>
      </c:barChart>
      <c:catAx>
        <c:axId val="10524277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Musim</a:t>
                </a:r>
              </a:p>
              <a:p>
                <a:pPr>
                  <a:defRPr/>
                </a:pPr>
                <a:r>
                  <a:rPr lang="en-US"/>
                  <a:t>1(Semi) | 2(Panas)</a:t>
                </a:r>
                <a:r>
                  <a:rPr lang="en-US" baseline="0"/>
                  <a:t> | 3(Gugur) | 4(Dingin)</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628079"/>
        <c:crosses val="autoZero"/>
        <c:auto val="1"/>
        <c:lblAlgn val="ctr"/>
        <c:lblOffset val="100"/>
        <c:noMultiLvlLbl val="0"/>
      </c:catAx>
      <c:valAx>
        <c:axId val="18976280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Rata rata sewa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427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[porto excel.xlsx]Hari1!PivotTable3</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D" b="0" i="0">
                <a:effectLst/>
              </a:rPr>
              <a:t>Rata-Rata Sewaan Sepeda Berdasarkan Hari</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Hari1!$H$3</c:f>
              <c:strCache>
                <c:ptCount val="1"/>
                <c:pt idx="0">
                  <c:v>Total</c:v>
                </c:pt>
              </c:strCache>
            </c:strRef>
          </c:tx>
          <c:spPr>
            <a:solidFill>
              <a:schemeClr val="accent2"/>
            </a:solidFill>
            <a:ln>
              <a:noFill/>
            </a:ln>
            <a:effectLst/>
          </c:spPr>
          <c:invertIfNegative val="0"/>
          <c:cat>
            <c:strRef>
              <c:f>Hari1!$G$4:$G$11</c:f>
              <c:strCache>
                <c:ptCount val="7"/>
                <c:pt idx="0">
                  <c:v>0</c:v>
                </c:pt>
                <c:pt idx="1">
                  <c:v>1</c:v>
                </c:pt>
                <c:pt idx="2">
                  <c:v>2</c:v>
                </c:pt>
                <c:pt idx="3">
                  <c:v>3</c:v>
                </c:pt>
                <c:pt idx="4">
                  <c:v>4</c:v>
                </c:pt>
                <c:pt idx="5">
                  <c:v>5</c:v>
                </c:pt>
                <c:pt idx="6">
                  <c:v>6</c:v>
                </c:pt>
              </c:strCache>
            </c:strRef>
          </c:cat>
          <c:val>
            <c:numRef>
              <c:f>Hari1!$H$4:$H$11</c:f>
              <c:numCache>
                <c:formatCode>General</c:formatCode>
                <c:ptCount val="7"/>
                <c:pt idx="0">
                  <c:v>5036.8490566037735</c:v>
                </c:pt>
                <c:pt idx="1">
                  <c:v>5194</c:v>
                </c:pt>
                <c:pt idx="2">
                  <c:v>5553.2884615384619</c:v>
                </c:pt>
                <c:pt idx="3">
                  <c:v>5843.8269230769229</c:v>
                </c:pt>
                <c:pt idx="4">
                  <c:v>5977.75</c:v>
                </c:pt>
                <c:pt idx="5">
                  <c:v>5880.4615384615381</c:v>
                </c:pt>
                <c:pt idx="6">
                  <c:v>5732</c:v>
                </c:pt>
              </c:numCache>
            </c:numRef>
          </c:val>
          <c:extLst>
            <c:ext xmlns:c16="http://schemas.microsoft.com/office/drawing/2014/chart" uri="{C3380CC4-5D6E-409C-BE32-E72D297353CC}">
              <c16:uniqueId val="{00000000-2031-4D6C-914A-8EC4C17B023B}"/>
            </c:ext>
          </c:extLst>
        </c:ser>
        <c:dLbls>
          <c:showLegendKey val="0"/>
          <c:showVal val="0"/>
          <c:showCatName val="0"/>
          <c:showSerName val="0"/>
          <c:showPercent val="0"/>
          <c:showBubbleSize val="0"/>
        </c:dLbls>
        <c:gapWidth val="219"/>
        <c:overlap val="-27"/>
        <c:axId val="1939266463"/>
        <c:axId val="1897607247"/>
      </c:barChart>
      <c:catAx>
        <c:axId val="1939266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607247"/>
        <c:crosses val="autoZero"/>
        <c:auto val="1"/>
        <c:lblAlgn val="ctr"/>
        <c:lblOffset val="100"/>
        <c:noMultiLvlLbl val="0"/>
      </c:catAx>
      <c:valAx>
        <c:axId val="1897607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266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b="0" i="0">
                <a:effectLst/>
              </a:rPr>
              <a:t>Distribusi Sewaan Sepeda Berdasarkan Hari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1"/>
          <c:tx>
            <c:strRef>
              <c:f>Hari!$B$12</c:f>
              <c:strCache>
                <c:ptCount val="1"/>
                <c:pt idx="0">
                  <c:v>Bottom</c:v>
                </c:pt>
              </c:strCache>
            </c:strRef>
          </c:tx>
          <c:spPr>
            <a:noFill/>
            <a:ln>
              <a:noFill/>
            </a:ln>
            <a:effectLst/>
          </c:spPr>
          <c:invertIfNegative val="0"/>
          <c:errBars>
            <c:errBarType val="minus"/>
            <c:errValType val="cust"/>
            <c:noEndCap val="0"/>
            <c:plus>
              <c:numLit>
                <c:formatCode>General</c:formatCode>
                <c:ptCount val="1"/>
                <c:pt idx="0">
                  <c:v>1</c:v>
                </c:pt>
              </c:numLit>
            </c:plus>
            <c:minus>
              <c:numRef>
                <c:f>Hari!$G$4:$G$10</c:f>
                <c:numCache>
                  <c:formatCode>General</c:formatCode>
                  <c:ptCount val="7"/>
                  <c:pt idx="0">
                    <c:v>2313</c:v>
                  </c:pt>
                  <c:pt idx="1">
                    <c:v>3288</c:v>
                  </c:pt>
                  <c:pt idx="2">
                    <c:v>2896.25</c:v>
                  </c:pt>
                  <c:pt idx="3">
                    <c:v>2212.25</c:v>
                  </c:pt>
                  <c:pt idx="4">
                    <c:v>2839.75</c:v>
                  </c:pt>
                  <c:pt idx="5">
                    <c:v>2223.75</c:v>
                  </c:pt>
                  <c:pt idx="6">
                    <c:v>2105</c:v>
                  </c:pt>
                </c:numCache>
              </c:numRef>
            </c:minus>
            <c:spPr>
              <a:noFill/>
              <a:ln w="9525" cap="flat" cmpd="sng" algn="ctr">
                <a:solidFill>
                  <a:schemeClr val="tx1">
                    <a:lumMod val="65000"/>
                    <a:lumOff val="35000"/>
                  </a:schemeClr>
                </a:solidFill>
                <a:round/>
              </a:ln>
              <a:effectLst/>
            </c:spPr>
          </c:errBars>
          <c:cat>
            <c:numRef>
              <c:f>Hari!$A$13:$A$19</c:f>
              <c:numCache>
                <c:formatCode>General</c:formatCode>
                <c:ptCount val="7"/>
                <c:pt idx="0">
                  <c:v>0</c:v>
                </c:pt>
                <c:pt idx="1">
                  <c:v>1</c:v>
                </c:pt>
                <c:pt idx="2">
                  <c:v>2</c:v>
                </c:pt>
                <c:pt idx="3">
                  <c:v>3</c:v>
                </c:pt>
                <c:pt idx="4">
                  <c:v>4</c:v>
                </c:pt>
                <c:pt idx="5">
                  <c:v>5</c:v>
                </c:pt>
                <c:pt idx="6">
                  <c:v>6</c:v>
                </c:pt>
              </c:numCache>
            </c:numRef>
          </c:cat>
          <c:val>
            <c:numRef>
              <c:f>Hari!$B$13:$B$19</c:f>
              <c:numCache>
                <c:formatCode>General</c:formatCode>
                <c:ptCount val="7"/>
                <c:pt idx="0">
                  <c:v>2918</c:v>
                </c:pt>
                <c:pt idx="1">
                  <c:v>3310</c:v>
                </c:pt>
                <c:pt idx="2">
                  <c:v>3579.25</c:v>
                </c:pt>
                <c:pt idx="3">
                  <c:v>2653.25</c:v>
                </c:pt>
                <c:pt idx="4">
                  <c:v>3270.75</c:v>
                </c:pt>
                <c:pt idx="5">
                  <c:v>3390.75</c:v>
                </c:pt>
                <c:pt idx="6">
                  <c:v>2732</c:v>
                </c:pt>
              </c:numCache>
            </c:numRef>
          </c:val>
          <c:extLst>
            <c:ext xmlns:c16="http://schemas.microsoft.com/office/drawing/2014/chart" uri="{C3380CC4-5D6E-409C-BE32-E72D297353CC}">
              <c16:uniqueId val="{00000001-E405-4109-ADB3-4F28A7F99104}"/>
            </c:ext>
          </c:extLst>
        </c:ser>
        <c:ser>
          <c:idx val="2"/>
          <c:order val="2"/>
          <c:tx>
            <c:strRef>
              <c:f>Hari!$C$12</c:f>
              <c:strCache>
                <c:ptCount val="1"/>
                <c:pt idx="0">
                  <c:v>2Q</c:v>
                </c:pt>
              </c:strCache>
            </c:strRef>
          </c:tx>
          <c:spPr>
            <a:solidFill>
              <a:schemeClr val="accent4">
                <a:lumMod val="60000"/>
                <a:lumOff val="40000"/>
              </a:schemeClr>
            </a:solidFill>
            <a:ln>
              <a:noFill/>
            </a:ln>
            <a:effectLst/>
          </c:spPr>
          <c:invertIfNegative val="0"/>
          <c:cat>
            <c:numRef>
              <c:f>Hari!$A$13:$A$19</c:f>
              <c:numCache>
                <c:formatCode>General</c:formatCode>
                <c:ptCount val="7"/>
                <c:pt idx="0">
                  <c:v>0</c:v>
                </c:pt>
                <c:pt idx="1">
                  <c:v>1</c:v>
                </c:pt>
                <c:pt idx="2">
                  <c:v>2</c:v>
                </c:pt>
                <c:pt idx="3">
                  <c:v>3</c:v>
                </c:pt>
                <c:pt idx="4">
                  <c:v>4</c:v>
                </c:pt>
                <c:pt idx="5">
                  <c:v>5</c:v>
                </c:pt>
                <c:pt idx="6">
                  <c:v>6</c:v>
                </c:pt>
              </c:numCache>
            </c:numRef>
          </c:cat>
          <c:val>
            <c:numRef>
              <c:f>Hari!$C$13:$C$19</c:f>
              <c:numCache>
                <c:formatCode>General</c:formatCode>
                <c:ptCount val="7"/>
                <c:pt idx="0">
                  <c:v>1416</c:v>
                </c:pt>
                <c:pt idx="1">
                  <c:v>1049</c:v>
                </c:pt>
                <c:pt idx="2">
                  <c:v>997.25</c:v>
                </c:pt>
                <c:pt idx="3">
                  <c:v>1989.25</c:v>
                </c:pt>
                <c:pt idx="4">
                  <c:v>1450.25</c:v>
                </c:pt>
                <c:pt idx="5">
                  <c:v>1210.75</c:v>
                </c:pt>
                <c:pt idx="6">
                  <c:v>1789</c:v>
                </c:pt>
              </c:numCache>
            </c:numRef>
          </c:val>
          <c:extLst>
            <c:ext xmlns:c16="http://schemas.microsoft.com/office/drawing/2014/chart" uri="{C3380CC4-5D6E-409C-BE32-E72D297353CC}">
              <c16:uniqueId val="{00000002-E405-4109-ADB3-4F28A7F99104}"/>
            </c:ext>
          </c:extLst>
        </c:ser>
        <c:ser>
          <c:idx val="3"/>
          <c:order val="3"/>
          <c:tx>
            <c:strRef>
              <c:f>Hari!$D$12</c:f>
              <c:strCache>
                <c:ptCount val="1"/>
                <c:pt idx="0">
                  <c:v>3Q</c:v>
                </c:pt>
              </c:strCache>
            </c:strRef>
          </c:tx>
          <c:spPr>
            <a:solidFill>
              <a:schemeClr val="accent4"/>
            </a:solidFill>
            <a:ln>
              <a:noFill/>
            </a:ln>
            <a:effectLst/>
          </c:spPr>
          <c:invertIfNegative val="0"/>
          <c:errBars>
            <c:errBarType val="plus"/>
            <c:errValType val="cust"/>
            <c:noEndCap val="0"/>
            <c:plus>
              <c:numRef>
                <c:f>Hari!$H$4:$H$10</c:f>
                <c:numCache>
                  <c:formatCode>General</c:formatCode>
                  <c:ptCount val="7"/>
                  <c:pt idx="0">
                    <c:v>2763</c:v>
                  </c:pt>
                  <c:pt idx="1">
                    <c:v>1650</c:v>
                  </c:pt>
                  <c:pt idx="2">
                    <c:v>1998</c:v>
                  </c:pt>
                  <c:pt idx="3">
                    <c:v>1997.25</c:v>
                  </c:pt>
                  <c:pt idx="4">
                    <c:v>1518</c:v>
                  </c:pt>
                  <c:pt idx="5">
                    <c:v>2461.5</c:v>
                  </c:pt>
                  <c:pt idx="6">
                    <c:v>2574</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numRef>
              <c:f>Hari!$A$13:$A$19</c:f>
              <c:numCache>
                <c:formatCode>General</c:formatCode>
                <c:ptCount val="7"/>
                <c:pt idx="0">
                  <c:v>0</c:v>
                </c:pt>
                <c:pt idx="1">
                  <c:v>1</c:v>
                </c:pt>
                <c:pt idx="2">
                  <c:v>2</c:v>
                </c:pt>
                <c:pt idx="3">
                  <c:v>3</c:v>
                </c:pt>
                <c:pt idx="4">
                  <c:v>4</c:v>
                </c:pt>
                <c:pt idx="5">
                  <c:v>5</c:v>
                </c:pt>
                <c:pt idx="6">
                  <c:v>6</c:v>
                </c:pt>
              </c:numCache>
            </c:numRef>
          </c:cat>
          <c:val>
            <c:numRef>
              <c:f>Hari!$D$13:$D$19</c:f>
              <c:numCache>
                <c:formatCode>General</c:formatCode>
                <c:ptCount val="7"/>
                <c:pt idx="0">
                  <c:v>1130</c:v>
                </c:pt>
                <c:pt idx="1">
                  <c:v>1516</c:v>
                </c:pt>
                <c:pt idx="2">
                  <c:v>1192.5</c:v>
                </c:pt>
                <c:pt idx="3">
                  <c:v>1533.25</c:v>
                </c:pt>
                <c:pt idx="4">
                  <c:v>1565</c:v>
                </c:pt>
                <c:pt idx="5">
                  <c:v>1299</c:v>
                </c:pt>
                <c:pt idx="6">
                  <c:v>1619</c:v>
                </c:pt>
              </c:numCache>
            </c:numRef>
          </c:val>
          <c:extLst>
            <c:ext xmlns:c16="http://schemas.microsoft.com/office/drawing/2014/chart" uri="{C3380CC4-5D6E-409C-BE32-E72D297353CC}">
              <c16:uniqueId val="{00000003-E405-4109-ADB3-4F28A7F99104}"/>
            </c:ext>
          </c:extLst>
        </c:ser>
        <c:dLbls>
          <c:showLegendKey val="0"/>
          <c:showVal val="0"/>
          <c:showCatName val="0"/>
          <c:showSerName val="0"/>
          <c:showPercent val="0"/>
          <c:showBubbleSize val="0"/>
        </c:dLbls>
        <c:gapWidth val="150"/>
        <c:overlap val="100"/>
        <c:axId val="1142915167"/>
        <c:axId val="1923574847"/>
        <c:extLst>
          <c:ext xmlns:c15="http://schemas.microsoft.com/office/drawing/2012/chart" uri="{02D57815-91ED-43cb-92C2-25804820EDAC}">
            <c15:filteredBarSeries>
              <c15:ser>
                <c:idx val="0"/>
                <c:order val="0"/>
                <c:tx>
                  <c:strRef>
                    <c:extLst>
                      <c:ext uri="{02D57815-91ED-43cb-92C2-25804820EDAC}">
                        <c15:formulaRef>
                          <c15:sqref>Hari!$A$12</c15:sqref>
                        </c15:formulaRef>
                      </c:ext>
                    </c:extLst>
                    <c:strCache>
                      <c:ptCount val="1"/>
                      <c:pt idx="0">
                        <c:v>Kolom1</c:v>
                      </c:pt>
                    </c:strCache>
                  </c:strRef>
                </c:tx>
                <c:spPr>
                  <a:solidFill>
                    <a:schemeClr val="accent1"/>
                  </a:solidFill>
                  <a:ln>
                    <a:noFill/>
                  </a:ln>
                  <a:effectLst/>
                </c:spPr>
                <c:invertIfNegative val="0"/>
                <c:cat>
                  <c:numRef>
                    <c:extLst>
                      <c:ext uri="{02D57815-91ED-43cb-92C2-25804820EDAC}">
                        <c15:formulaRef>
                          <c15:sqref>Hari!$A$13:$A$19</c15:sqref>
                        </c15:formulaRef>
                      </c:ext>
                    </c:extLst>
                    <c:numCache>
                      <c:formatCode>General</c:formatCode>
                      <c:ptCount val="7"/>
                      <c:pt idx="0">
                        <c:v>0</c:v>
                      </c:pt>
                      <c:pt idx="1">
                        <c:v>1</c:v>
                      </c:pt>
                      <c:pt idx="2">
                        <c:v>2</c:v>
                      </c:pt>
                      <c:pt idx="3">
                        <c:v>3</c:v>
                      </c:pt>
                      <c:pt idx="4">
                        <c:v>4</c:v>
                      </c:pt>
                      <c:pt idx="5">
                        <c:v>5</c:v>
                      </c:pt>
                      <c:pt idx="6">
                        <c:v>6</c:v>
                      </c:pt>
                    </c:numCache>
                  </c:numRef>
                </c:cat>
                <c:val>
                  <c:numRef>
                    <c:extLst>
                      <c:ext uri="{02D57815-91ED-43cb-92C2-25804820EDAC}">
                        <c15:formulaRef>
                          <c15:sqref>Hari!$A$13:$A$19</c15:sqref>
                        </c15:formulaRef>
                      </c:ext>
                    </c:extLst>
                    <c:numCache>
                      <c:formatCode>General</c:formatCode>
                      <c:ptCount val="7"/>
                      <c:pt idx="0">
                        <c:v>0</c:v>
                      </c:pt>
                      <c:pt idx="1">
                        <c:v>1</c:v>
                      </c:pt>
                      <c:pt idx="2">
                        <c:v>2</c:v>
                      </c:pt>
                      <c:pt idx="3">
                        <c:v>3</c:v>
                      </c:pt>
                      <c:pt idx="4">
                        <c:v>4</c:v>
                      </c:pt>
                      <c:pt idx="5">
                        <c:v>5</c:v>
                      </c:pt>
                      <c:pt idx="6">
                        <c:v>6</c:v>
                      </c:pt>
                    </c:numCache>
                  </c:numRef>
                </c:val>
                <c:extLst>
                  <c:ext xmlns:c16="http://schemas.microsoft.com/office/drawing/2014/chart" uri="{C3380CC4-5D6E-409C-BE32-E72D297353CC}">
                    <c16:uniqueId val="{00000000-E405-4109-ADB3-4F28A7F99104}"/>
                  </c:ext>
                </c:extLst>
              </c15:ser>
            </c15:filteredBarSeries>
          </c:ext>
        </c:extLst>
      </c:barChart>
      <c:catAx>
        <c:axId val="11429151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Hari</a:t>
                </a:r>
              </a:p>
              <a:p>
                <a:pPr>
                  <a:defRPr/>
                </a:pPr>
                <a:r>
                  <a:rPr lang="en-ID"/>
                  <a:t>0(Senin) | 1(Selasa) | 2(Rabu) | 3(Kamis)</a:t>
                </a:r>
                <a:r>
                  <a:rPr lang="en-ID" baseline="0"/>
                  <a:t> | 4(Jum'at) | 5(Sabtu) | 6(Minggu)</a:t>
                </a:r>
                <a:endParaRPr lang="en-ID"/>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574847"/>
        <c:crosses val="autoZero"/>
        <c:auto val="1"/>
        <c:lblAlgn val="ctr"/>
        <c:lblOffset val="100"/>
        <c:noMultiLvlLbl val="0"/>
      </c:catAx>
      <c:valAx>
        <c:axId val="19235748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Sewa Sepeda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915167"/>
        <c:crosses val="autoZero"/>
        <c:crossBetween val="between"/>
        <c:majorUnit val="2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2</xdr:row>
      <xdr:rowOff>152401</xdr:rowOff>
    </xdr:from>
    <xdr:to>
      <xdr:col>3</xdr:col>
      <xdr:colOff>76200</xdr:colOff>
      <xdr:row>7</xdr:row>
      <xdr:rowOff>114300</xdr:rowOff>
    </xdr:to>
    <mc:AlternateContent xmlns:mc="http://schemas.openxmlformats.org/markup-compatibility/2006">
      <mc:Choice xmlns:a14="http://schemas.microsoft.com/office/drawing/2010/main" Requires="a14">
        <xdr:graphicFrame macro="">
          <xdr:nvGraphicFramePr>
            <xdr:cNvPr id="2" name="Tahun">
              <a:extLst>
                <a:ext uri="{FF2B5EF4-FFF2-40B4-BE49-F238E27FC236}">
                  <a16:creationId xmlns:a16="http://schemas.microsoft.com/office/drawing/2014/main" id="{4AF0B3A5-1664-4AD5-AD6E-3D17426C955C}"/>
                </a:ext>
              </a:extLst>
            </xdr:cNvPr>
            <xdr:cNvGraphicFramePr/>
          </xdr:nvGraphicFramePr>
          <xdr:xfrm>
            <a:off x="0" y="0"/>
            <a:ext cx="0" cy="0"/>
          </xdr:xfrm>
          <a:graphic>
            <a:graphicData uri="http://schemas.microsoft.com/office/drawing/2010/slicer">
              <sle:slicer xmlns:sle="http://schemas.microsoft.com/office/drawing/2010/slicer" name="Tahun"/>
            </a:graphicData>
          </a:graphic>
        </xdr:graphicFrame>
      </mc:Choice>
      <mc:Fallback>
        <xdr:sp macro="" textlink="">
          <xdr:nvSpPr>
            <xdr:cNvPr id="0" name=""/>
            <xdr:cNvSpPr>
              <a:spLocks noTextEdit="1"/>
            </xdr:cNvSpPr>
          </xdr:nvSpPr>
          <xdr:spPr>
            <a:xfrm>
              <a:off x="76200" y="533401"/>
              <a:ext cx="1836964" cy="914399"/>
            </a:xfrm>
            <a:prstGeom prst="rect">
              <a:avLst/>
            </a:prstGeom>
            <a:solidFill>
              <a:prstClr val="white"/>
            </a:solidFill>
            <a:ln w="1">
              <a:solidFill>
                <a:prstClr val="green"/>
              </a:solidFill>
            </a:ln>
          </xdr:spPr>
          <xdr:txBody>
            <a:bodyPr vertOverflow="clip" horzOverflow="clip"/>
            <a:lstStyle/>
            <a:p>
              <a:r>
                <a:rPr lang="en-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xdr:clientData/>
  </xdr:twoCellAnchor>
  <xdr:twoCellAnchor>
    <xdr:from>
      <xdr:col>0</xdr:col>
      <xdr:colOff>285750</xdr:colOff>
      <xdr:row>0</xdr:row>
      <xdr:rowOff>85725</xdr:rowOff>
    </xdr:from>
    <xdr:to>
      <xdr:col>20</xdr:col>
      <xdr:colOff>581026</xdr:colOff>
      <xdr:row>2</xdr:row>
      <xdr:rowOff>95250</xdr:rowOff>
    </xdr:to>
    <xdr:grpSp>
      <xdr:nvGrpSpPr>
        <xdr:cNvPr id="17" name="Grup 16">
          <a:extLst>
            <a:ext uri="{FF2B5EF4-FFF2-40B4-BE49-F238E27FC236}">
              <a16:creationId xmlns:a16="http://schemas.microsoft.com/office/drawing/2014/main" id="{CE00F9C5-69D4-B368-A8C3-A66E3F0121E0}"/>
            </a:ext>
          </a:extLst>
        </xdr:cNvPr>
        <xdr:cNvGrpSpPr/>
      </xdr:nvGrpSpPr>
      <xdr:grpSpPr>
        <a:xfrm>
          <a:off x="285750" y="85725"/>
          <a:ext cx="12119883" cy="390525"/>
          <a:chOff x="0" y="114300"/>
          <a:chExt cx="11972926" cy="390525"/>
        </a:xfrm>
      </xdr:grpSpPr>
      <xdr:sp macro="" textlink="">
        <xdr:nvSpPr>
          <xdr:cNvPr id="3" name="Panah: Pentagon 2">
            <a:extLst>
              <a:ext uri="{FF2B5EF4-FFF2-40B4-BE49-F238E27FC236}">
                <a16:creationId xmlns:a16="http://schemas.microsoft.com/office/drawing/2014/main" id="{81FDBC14-B61A-FFA8-6AC5-CCE58A6AA1CA}"/>
              </a:ext>
            </a:extLst>
          </xdr:cNvPr>
          <xdr:cNvSpPr/>
        </xdr:nvSpPr>
        <xdr:spPr>
          <a:xfrm>
            <a:off x="0" y="114300"/>
            <a:ext cx="11163300" cy="371475"/>
          </a:xfrm>
          <a:prstGeom prst="homePlate">
            <a:avLst/>
          </a:prstGeom>
          <a:effectLst>
            <a:outerShdw blurRad="50800" dist="38100" algn="l"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ID" sz="2000">
                <a:latin typeface="Cascadia Code SemiLight" panose="020B0609020000020004" pitchFamily="49" charset="0"/>
                <a:cs typeface="Cascadia Code SemiLight" panose="020B0609020000020004" pitchFamily="49" charset="0"/>
              </a:rPr>
              <a:t>ANALISIS</a:t>
            </a:r>
            <a:r>
              <a:rPr lang="en-ID" sz="2000" baseline="0">
                <a:latin typeface="Cascadia Code SemiLight" panose="020B0609020000020004" pitchFamily="49" charset="0"/>
                <a:cs typeface="Cascadia Code SemiLight" panose="020B0609020000020004" pitchFamily="49" charset="0"/>
              </a:rPr>
              <a:t> DATA SEWA SEPEDA (BIKE-SHARING-DATASET)</a:t>
            </a:r>
            <a:endParaRPr lang="en-ID" sz="2000">
              <a:latin typeface="Cascadia Code SemiLight" panose="020B0609020000020004" pitchFamily="49" charset="0"/>
              <a:cs typeface="Cascadia Code SemiLight" panose="020B0609020000020004" pitchFamily="49" charset="0"/>
            </a:endParaRPr>
          </a:p>
        </xdr:txBody>
      </xdr:sp>
      <xdr:sp macro="" textlink="">
        <xdr:nvSpPr>
          <xdr:cNvPr id="4" name="Panah: Chevron 3">
            <a:extLst>
              <a:ext uri="{FF2B5EF4-FFF2-40B4-BE49-F238E27FC236}">
                <a16:creationId xmlns:a16="http://schemas.microsoft.com/office/drawing/2014/main" id="{3E302A97-F13F-94AA-C91E-E384884775F4}"/>
              </a:ext>
            </a:extLst>
          </xdr:cNvPr>
          <xdr:cNvSpPr/>
        </xdr:nvSpPr>
        <xdr:spPr>
          <a:xfrm>
            <a:off x="11153776" y="114300"/>
            <a:ext cx="438150" cy="390525"/>
          </a:xfrm>
          <a:prstGeom prst="chevron">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ID" sz="1100">
              <a:solidFill>
                <a:schemeClr val="tx1"/>
              </a:solidFill>
            </a:endParaRPr>
          </a:p>
        </xdr:txBody>
      </xdr:sp>
      <xdr:sp macro="" textlink="">
        <xdr:nvSpPr>
          <xdr:cNvPr id="5" name="Panah: Chevron 4">
            <a:extLst>
              <a:ext uri="{FF2B5EF4-FFF2-40B4-BE49-F238E27FC236}">
                <a16:creationId xmlns:a16="http://schemas.microsoft.com/office/drawing/2014/main" id="{521ABCEE-119D-9B6B-168F-09967617EC48}"/>
              </a:ext>
            </a:extLst>
          </xdr:cNvPr>
          <xdr:cNvSpPr/>
        </xdr:nvSpPr>
        <xdr:spPr>
          <a:xfrm>
            <a:off x="11534776" y="114300"/>
            <a:ext cx="438150" cy="390525"/>
          </a:xfrm>
          <a:prstGeom prst="chevron">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D" sz="1100">
              <a:solidFill>
                <a:schemeClr val="tx1"/>
              </a:solidFill>
            </a:endParaRPr>
          </a:p>
        </xdr:txBody>
      </xdr:sp>
    </xdr:grpSp>
    <xdr:clientData/>
  </xdr:twoCellAnchor>
  <xdr:twoCellAnchor editAs="oneCell">
    <xdr:from>
      <xdr:col>0</xdr:col>
      <xdr:colOff>76200</xdr:colOff>
      <xdr:row>7</xdr:row>
      <xdr:rowOff>114300</xdr:rowOff>
    </xdr:from>
    <xdr:to>
      <xdr:col>3</xdr:col>
      <xdr:colOff>76200</xdr:colOff>
      <xdr:row>26</xdr:row>
      <xdr:rowOff>114300</xdr:rowOff>
    </xdr:to>
    <mc:AlternateContent xmlns:mc="http://schemas.openxmlformats.org/markup-compatibility/2006">
      <mc:Choice xmlns:a14="http://schemas.microsoft.com/office/drawing/2010/main" Requires="a14">
        <xdr:graphicFrame macro="">
          <xdr:nvGraphicFramePr>
            <xdr:cNvPr id="7" name="mnth">
              <a:extLst>
                <a:ext uri="{FF2B5EF4-FFF2-40B4-BE49-F238E27FC236}">
                  <a16:creationId xmlns:a16="http://schemas.microsoft.com/office/drawing/2014/main" id="{B136D55D-1CA6-4404-952F-3DAA372CCB57}"/>
                </a:ext>
              </a:extLst>
            </xdr:cNvPr>
            <xdr:cNvGraphicFramePr/>
          </xdr:nvGraphicFramePr>
          <xdr:xfrm>
            <a:off x="0" y="0"/>
            <a:ext cx="0" cy="0"/>
          </xdr:xfrm>
          <a:graphic>
            <a:graphicData uri="http://schemas.microsoft.com/office/drawing/2010/slicer">
              <sle:slicer xmlns:sle="http://schemas.microsoft.com/office/drawing/2010/slicer" name="mnth"/>
            </a:graphicData>
          </a:graphic>
        </xdr:graphicFrame>
      </mc:Choice>
      <mc:Fallback>
        <xdr:sp macro="" textlink="">
          <xdr:nvSpPr>
            <xdr:cNvPr id="0" name=""/>
            <xdr:cNvSpPr>
              <a:spLocks noTextEdit="1"/>
            </xdr:cNvSpPr>
          </xdr:nvSpPr>
          <xdr:spPr>
            <a:xfrm>
              <a:off x="76200" y="1447800"/>
              <a:ext cx="1836964" cy="3619500"/>
            </a:xfrm>
            <a:prstGeom prst="rect">
              <a:avLst/>
            </a:prstGeom>
            <a:solidFill>
              <a:prstClr val="white"/>
            </a:solidFill>
            <a:ln w="1">
              <a:solidFill>
                <a:prstClr val="green"/>
              </a:solidFill>
            </a:ln>
          </xdr:spPr>
          <xdr:txBody>
            <a:bodyPr vertOverflow="clip" horzOverflow="clip"/>
            <a:lstStyle/>
            <a:p>
              <a:r>
                <a:rPr lang="en-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xdr:clientData/>
  </xdr:twoCellAnchor>
  <xdr:oneCellAnchor>
    <xdr:from>
      <xdr:col>3</xdr:col>
      <xdr:colOff>171450</xdr:colOff>
      <xdr:row>2</xdr:row>
      <xdr:rowOff>161925</xdr:rowOff>
    </xdr:from>
    <xdr:ext cx="1051635" cy="280205"/>
    <xdr:sp macro="" textlink="">
      <xdr:nvSpPr>
        <xdr:cNvPr id="8" name="Kotak Teks 7">
          <a:extLst>
            <a:ext uri="{FF2B5EF4-FFF2-40B4-BE49-F238E27FC236}">
              <a16:creationId xmlns:a16="http://schemas.microsoft.com/office/drawing/2014/main" id="{17F007EC-94F8-F9F6-EBDF-A573C7708106}"/>
            </a:ext>
          </a:extLst>
        </xdr:cNvPr>
        <xdr:cNvSpPr txBox="1"/>
      </xdr:nvSpPr>
      <xdr:spPr>
        <a:xfrm>
          <a:off x="2000250" y="542925"/>
          <a:ext cx="105163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200">
              <a:latin typeface="Aptos" panose="020B0004020202020204" pitchFamily="34" charset="0"/>
              <a:cs typeface="Lucida Sans Unicode" panose="020B0602030504020204" pitchFamily="34" charset="0"/>
            </a:rPr>
            <a:t>Jumlah</a:t>
          </a:r>
          <a:r>
            <a:rPr lang="en-ID" sz="1200" baseline="0">
              <a:latin typeface="Aptos" panose="020B0004020202020204" pitchFamily="34" charset="0"/>
              <a:cs typeface="Lucida Sans Unicode" panose="020B0602030504020204" pitchFamily="34" charset="0"/>
            </a:rPr>
            <a:t> Sewa</a:t>
          </a:r>
          <a:endParaRPr lang="en-ID" sz="1200">
            <a:latin typeface="Aptos" panose="020B0004020202020204" pitchFamily="34" charset="0"/>
            <a:cs typeface="Lucida Sans Unicode" panose="020B0602030504020204" pitchFamily="34" charset="0"/>
          </a:endParaRPr>
        </a:p>
      </xdr:txBody>
    </xdr:sp>
    <xdr:clientData/>
  </xdr:oneCellAnchor>
  <xdr:oneCellAnchor>
    <xdr:from>
      <xdr:col>9</xdr:col>
      <xdr:colOff>0</xdr:colOff>
      <xdr:row>2</xdr:row>
      <xdr:rowOff>152400</xdr:rowOff>
    </xdr:from>
    <xdr:ext cx="1652184" cy="280205"/>
    <xdr:sp macro="" textlink="">
      <xdr:nvSpPr>
        <xdr:cNvPr id="9" name="Kotak Teks 8">
          <a:extLst>
            <a:ext uri="{FF2B5EF4-FFF2-40B4-BE49-F238E27FC236}">
              <a16:creationId xmlns:a16="http://schemas.microsoft.com/office/drawing/2014/main" id="{7E51DD32-D649-83FA-2864-4B199A86B1C4}"/>
            </a:ext>
          </a:extLst>
        </xdr:cNvPr>
        <xdr:cNvSpPr txBox="1"/>
      </xdr:nvSpPr>
      <xdr:spPr>
        <a:xfrm>
          <a:off x="4067175" y="533400"/>
          <a:ext cx="1652184"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200" baseline="0">
              <a:latin typeface="Aptos" panose="020B0004020202020204" pitchFamily="34" charset="0"/>
              <a:cs typeface="Lucida Sans Unicode" panose="020B0602030504020204" pitchFamily="34" charset="0"/>
            </a:rPr>
            <a:t>Rata Rata Sewa/bulan</a:t>
          </a:r>
          <a:endParaRPr lang="en-ID" sz="1200">
            <a:latin typeface="Aptos" panose="020B0004020202020204" pitchFamily="34" charset="0"/>
            <a:cs typeface="Lucida Sans Unicode" panose="020B0602030504020204" pitchFamily="34" charset="0"/>
          </a:endParaRPr>
        </a:p>
      </xdr:txBody>
    </xdr:sp>
    <xdr:clientData/>
  </xdr:oneCellAnchor>
  <xdr:twoCellAnchor>
    <xdr:from>
      <xdr:col>13</xdr:col>
      <xdr:colOff>66676</xdr:colOff>
      <xdr:row>3</xdr:row>
      <xdr:rowOff>57149</xdr:rowOff>
    </xdr:from>
    <xdr:to>
      <xdr:col>18</xdr:col>
      <xdr:colOff>1019176</xdr:colOff>
      <xdr:row>21</xdr:row>
      <xdr:rowOff>133350</xdr:rowOff>
    </xdr:to>
    <xdr:graphicFrame macro="">
      <xdr:nvGraphicFramePr>
        <xdr:cNvPr id="10" name="Bagan 9">
          <a:extLst>
            <a:ext uri="{FF2B5EF4-FFF2-40B4-BE49-F238E27FC236}">
              <a16:creationId xmlns:a16="http://schemas.microsoft.com/office/drawing/2014/main" id="{C6EEFE1A-90EB-46FA-9898-E40E02DACE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1123950</xdr:colOff>
      <xdr:row>3</xdr:row>
      <xdr:rowOff>57151</xdr:rowOff>
    </xdr:from>
    <xdr:to>
      <xdr:col>21</xdr:col>
      <xdr:colOff>200025</xdr:colOff>
      <xdr:row>21</xdr:row>
      <xdr:rowOff>104775</xdr:rowOff>
    </xdr:to>
    <xdr:graphicFrame macro="">
      <xdr:nvGraphicFramePr>
        <xdr:cNvPr id="11" name="Bagan 10">
          <a:extLst>
            <a:ext uri="{FF2B5EF4-FFF2-40B4-BE49-F238E27FC236}">
              <a16:creationId xmlns:a16="http://schemas.microsoft.com/office/drawing/2014/main" id="{73D99A01-F203-49E4-AE4F-19BE973FA3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133350</xdr:colOff>
      <xdr:row>6</xdr:row>
      <xdr:rowOff>57151</xdr:rowOff>
    </xdr:from>
    <xdr:to>
      <xdr:col>13</xdr:col>
      <xdr:colOff>0</xdr:colOff>
      <xdr:row>21</xdr:row>
      <xdr:rowOff>161925</xdr:rowOff>
    </xdr:to>
    <xdr:graphicFrame macro="">
      <xdr:nvGraphicFramePr>
        <xdr:cNvPr id="12" name="Bagan 11">
          <a:extLst>
            <a:ext uri="{FF2B5EF4-FFF2-40B4-BE49-F238E27FC236}">
              <a16:creationId xmlns:a16="http://schemas.microsoft.com/office/drawing/2014/main" id="{388DF857-1258-4655-9927-07C1DDF5C4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152399</xdr:colOff>
      <xdr:row>22</xdr:row>
      <xdr:rowOff>0</xdr:rowOff>
    </xdr:from>
    <xdr:to>
      <xdr:col>14</xdr:col>
      <xdr:colOff>457199</xdr:colOff>
      <xdr:row>39</xdr:row>
      <xdr:rowOff>76200</xdr:rowOff>
    </xdr:to>
    <xdr:graphicFrame macro="">
      <xdr:nvGraphicFramePr>
        <xdr:cNvPr id="13" name="Bagan 12">
          <a:extLst>
            <a:ext uri="{FF2B5EF4-FFF2-40B4-BE49-F238E27FC236}">
              <a16:creationId xmlns:a16="http://schemas.microsoft.com/office/drawing/2014/main" id="{80BF6946-2B98-41A5-94BE-0CF3067556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542925</xdr:colOff>
      <xdr:row>22</xdr:row>
      <xdr:rowOff>9525</xdr:rowOff>
    </xdr:from>
    <xdr:to>
      <xdr:col>21</xdr:col>
      <xdr:colOff>190498</xdr:colOff>
      <xdr:row>39</xdr:row>
      <xdr:rowOff>76200</xdr:rowOff>
    </xdr:to>
    <xdr:graphicFrame macro="">
      <xdr:nvGraphicFramePr>
        <xdr:cNvPr id="14" name="Bagan 13">
          <a:extLst>
            <a:ext uri="{FF2B5EF4-FFF2-40B4-BE49-F238E27FC236}">
              <a16:creationId xmlns:a16="http://schemas.microsoft.com/office/drawing/2014/main" id="{46C559A1-5667-4111-8B06-808EB9F977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76200</xdr:colOff>
      <xdr:row>26</xdr:row>
      <xdr:rowOff>104775</xdr:rowOff>
    </xdr:from>
    <xdr:to>
      <xdr:col>3</xdr:col>
      <xdr:colOff>76200</xdr:colOff>
      <xdr:row>34</xdr:row>
      <xdr:rowOff>57150</xdr:rowOff>
    </xdr:to>
    <mc:AlternateContent xmlns:mc="http://schemas.openxmlformats.org/markup-compatibility/2006">
      <mc:Choice xmlns:a14="http://schemas.microsoft.com/office/drawing/2010/main" Requires="a14">
        <xdr:graphicFrame macro="">
          <xdr:nvGraphicFramePr>
            <xdr:cNvPr id="15" name="season">
              <a:extLst>
                <a:ext uri="{FF2B5EF4-FFF2-40B4-BE49-F238E27FC236}">
                  <a16:creationId xmlns:a16="http://schemas.microsoft.com/office/drawing/2014/main" id="{BF0FCD94-5D91-494D-80A1-4F59BFC1E7EC}"/>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76200" y="5057775"/>
              <a:ext cx="1836964" cy="1476375"/>
            </a:xfrm>
            <a:prstGeom prst="rect">
              <a:avLst/>
            </a:prstGeom>
            <a:solidFill>
              <a:prstClr val="white"/>
            </a:solidFill>
            <a:ln w="1">
              <a:solidFill>
                <a:prstClr val="green"/>
              </a:solidFill>
            </a:ln>
          </xdr:spPr>
          <xdr:txBody>
            <a:bodyPr vertOverflow="clip" horzOverflow="clip"/>
            <a:lstStyle/>
            <a:p>
              <a:r>
                <a:rPr lang="en-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xdr:clientData/>
  </xdr:twoCellAnchor>
  <xdr:twoCellAnchor editAs="oneCell">
    <xdr:from>
      <xdr:col>0</xdr:col>
      <xdr:colOff>76200</xdr:colOff>
      <xdr:row>34</xdr:row>
      <xdr:rowOff>47626</xdr:rowOff>
    </xdr:from>
    <xdr:to>
      <xdr:col>3</xdr:col>
      <xdr:colOff>76200</xdr:colOff>
      <xdr:row>39</xdr:row>
      <xdr:rowOff>85726</xdr:rowOff>
    </xdr:to>
    <mc:AlternateContent xmlns:mc="http://schemas.openxmlformats.org/markup-compatibility/2006">
      <mc:Choice xmlns:a14="http://schemas.microsoft.com/office/drawing/2010/main" Requires="a14">
        <xdr:graphicFrame macro="">
          <xdr:nvGraphicFramePr>
            <xdr:cNvPr id="16" name="workingday">
              <a:extLst>
                <a:ext uri="{FF2B5EF4-FFF2-40B4-BE49-F238E27FC236}">
                  <a16:creationId xmlns:a16="http://schemas.microsoft.com/office/drawing/2014/main" id="{B31F8023-2F0F-4219-8CBA-DCFC19A388E3}"/>
                </a:ext>
              </a:extLst>
            </xdr:cNvPr>
            <xdr:cNvGraphicFramePr/>
          </xdr:nvGraphicFramePr>
          <xdr:xfrm>
            <a:off x="0" y="0"/>
            <a:ext cx="0" cy="0"/>
          </xdr:xfrm>
          <a:graphic>
            <a:graphicData uri="http://schemas.microsoft.com/office/drawing/2010/slicer">
              <sle:slicer xmlns:sle="http://schemas.microsoft.com/office/drawing/2010/slicer" name="workingday"/>
            </a:graphicData>
          </a:graphic>
        </xdr:graphicFrame>
      </mc:Choice>
      <mc:Fallback>
        <xdr:sp macro="" textlink="">
          <xdr:nvSpPr>
            <xdr:cNvPr id="0" name=""/>
            <xdr:cNvSpPr>
              <a:spLocks noTextEdit="1"/>
            </xdr:cNvSpPr>
          </xdr:nvSpPr>
          <xdr:spPr>
            <a:xfrm>
              <a:off x="76200" y="6524626"/>
              <a:ext cx="1836964" cy="990600"/>
            </a:xfrm>
            <a:prstGeom prst="rect">
              <a:avLst/>
            </a:prstGeom>
            <a:solidFill>
              <a:prstClr val="white"/>
            </a:solidFill>
            <a:ln w="1">
              <a:solidFill>
                <a:prstClr val="green"/>
              </a:solidFill>
            </a:ln>
          </xdr:spPr>
          <xdr:txBody>
            <a:bodyPr vertOverflow="clip" horzOverflow="clip"/>
            <a:lstStyle/>
            <a:p>
              <a:r>
                <a:rPr lang="en-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38100</xdr:colOff>
      <xdr:row>0</xdr:row>
      <xdr:rowOff>0</xdr:rowOff>
    </xdr:from>
    <xdr:to>
      <xdr:col>12</xdr:col>
      <xdr:colOff>581025</xdr:colOff>
      <xdr:row>16</xdr:row>
      <xdr:rowOff>133350</xdr:rowOff>
    </xdr:to>
    <xdr:graphicFrame macro="">
      <xdr:nvGraphicFramePr>
        <xdr:cNvPr id="2" name="Bagan 1">
          <a:extLst>
            <a:ext uri="{FF2B5EF4-FFF2-40B4-BE49-F238E27FC236}">
              <a16:creationId xmlns:a16="http://schemas.microsoft.com/office/drawing/2014/main" id="{410B42C1-AA3D-6C5A-18ED-A3532B426B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657225</xdr:colOff>
      <xdr:row>0</xdr:row>
      <xdr:rowOff>0</xdr:rowOff>
    </xdr:from>
    <xdr:to>
      <xdr:col>16</xdr:col>
      <xdr:colOff>295276</xdr:colOff>
      <xdr:row>15</xdr:row>
      <xdr:rowOff>180975</xdr:rowOff>
    </xdr:to>
    <xdr:graphicFrame macro="">
      <xdr:nvGraphicFramePr>
        <xdr:cNvPr id="3" name="Bagan 2">
          <a:extLst>
            <a:ext uri="{FF2B5EF4-FFF2-40B4-BE49-F238E27FC236}">
              <a16:creationId xmlns:a16="http://schemas.microsoft.com/office/drawing/2014/main" id="{6BCBF050-8B43-F6C0-F74E-86EA7608DD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209550</xdr:colOff>
      <xdr:row>8</xdr:row>
      <xdr:rowOff>123825</xdr:rowOff>
    </xdr:from>
    <xdr:to>
      <xdr:col>11</xdr:col>
      <xdr:colOff>76200</xdr:colOff>
      <xdr:row>25</xdr:row>
      <xdr:rowOff>104775</xdr:rowOff>
    </xdr:to>
    <xdr:graphicFrame macro="">
      <xdr:nvGraphicFramePr>
        <xdr:cNvPr id="2" name="Bagan 1">
          <a:extLst>
            <a:ext uri="{FF2B5EF4-FFF2-40B4-BE49-F238E27FC236}">
              <a16:creationId xmlns:a16="http://schemas.microsoft.com/office/drawing/2014/main" id="{74E652B9-41E8-2D68-D77D-55081F8A3D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142875</xdr:colOff>
      <xdr:row>11</xdr:row>
      <xdr:rowOff>123825</xdr:rowOff>
    </xdr:from>
    <xdr:to>
      <xdr:col>10</xdr:col>
      <xdr:colOff>619125</xdr:colOff>
      <xdr:row>26</xdr:row>
      <xdr:rowOff>9525</xdr:rowOff>
    </xdr:to>
    <xdr:graphicFrame macro="">
      <xdr:nvGraphicFramePr>
        <xdr:cNvPr id="2" name="Bagan 1">
          <a:extLst>
            <a:ext uri="{FF2B5EF4-FFF2-40B4-BE49-F238E27FC236}">
              <a16:creationId xmlns:a16="http://schemas.microsoft.com/office/drawing/2014/main" id="{F7D33035-6B31-966A-C827-509743D256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9527</xdr:colOff>
      <xdr:row>10</xdr:row>
      <xdr:rowOff>104775</xdr:rowOff>
    </xdr:from>
    <xdr:to>
      <xdr:col>8</xdr:col>
      <xdr:colOff>38100</xdr:colOff>
      <xdr:row>26</xdr:row>
      <xdr:rowOff>142874</xdr:rowOff>
    </xdr:to>
    <xdr:graphicFrame macro="">
      <xdr:nvGraphicFramePr>
        <xdr:cNvPr id="5" name="Bagan 4">
          <a:extLst>
            <a:ext uri="{FF2B5EF4-FFF2-40B4-BE49-F238E27FC236}">
              <a16:creationId xmlns:a16="http://schemas.microsoft.com/office/drawing/2014/main" id="{245305F4-6F4F-BB82-975D-24509D35FA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5270.470659953702" createdVersion="8" refreshedVersion="8" minRefreshableVersion="3" recordCount="731" xr:uid="{93AE6ABA-8917-4F9C-973B-4847FC49CE9C}">
  <cacheSource type="worksheet">
    <worksheetSource name="day"/>
  </cacheSource>
  <cacheFields count="15">
    <cacheField name="dteday" numFmtId="14">
      <sharedItems containsSemiMixedTypes="0" containsNonDate="0" containsDate="1" containsString="0" minDate="2011-01-01T00:00:00" maxDate="2013-01-01T00:00:00"/>
    </cacheField>
    <cacheField name="season" numFmtId="0">
      <sharedItems containsSemiMixedTypes="0" containsString="0" containsNumber="1" containsInteger="1" minValue="1" maxValue="4" count="4">
        <n v="1"/>
        <n v="2"/>
        <n v="3"/>
        <n v="4"/>
      </sharedItems>
    </cacheField>
    <cacheField name="yr" numFmtId="0">
      <sharedItems containsSemiMixedTypes="0" containsString="0" containsNumber="1" containsInteger="1" minValue="0" maxValue="1" count="2">
        <n v="0"/>
        <n v="1"/>
      </sharedItems>
    </cacheField>
    <cacheField name="mnth" numFmtId="0">
      <sharedItems containsSemiMixedTypes="0" containsString="0" containsNumber="1" containsInteger="1" minValue="1" maxValue="12" count="12">
        <n v="1"/>
        <n v="2"/>
        <n v="3"/>
        <n v="4"/>
        <n v="5"/>
        <n v="6"/>
        <n v="7"/>
        <n v="8"/>
        <n v="9"/>
        <n v="10"/>
        <n v="11"/>
        <n v="12"/>
      </sharedItems>
    </cacheField>
    <cacheField name="holiday" numFmtId="0">
      <sharedItems containsSemiMixedTypes="0" containsString="0" containsNumber="1" containsInteger="1" minValue="0" maxValue="1"/>
    </cacheField>
    <cacheField name="weekday" numFmtId="0">
      <sharedItems containsSemiMixedTypes="0" containsString="0" containsNumber="1" containsInteger="1" minValue="0" maxValue="6" count="7">
        <n v="0"/>
        <n v="1"/>
        <n v="2"/>
        <n v="3"/>
        <n v="4"/>
        <n v="5"/>
        <n v="6"/>
      </sharedItems>
    </cacheField>
    <cacheField name="workingday" numFmtId="0">
      <sharedItems containsSemiMixedTypes="0" containsString="0" containsNumber="1" containsInteger="1" minValue="0" maxValue="1" count="2">
        <n v="0"/>
        <n v="1"/>
      </sharedItems>
    </cacheField>
    <cacheField name="weathersit" numFmtId="0">
      <sharedItems containsSemiMixedTypes="0" containsString="0" containsNumber="1" containsInteger="1" minValue="1" maxValue="3" count="3">
        <n v="2"/>
        <n v="1"/>
        <n v="3"/>
      </sharedItems>
    </cacheField>
    <cacheField name="temp" numFmtId="0">
      <sharedItems containsSemiMixedTypes="0" containsString="0" containsNumber="1" containsInteger="1" minValue="2" maxValue="973913"/>
    </cacheField>
    <cacheField name="atemp" numFmtId="0">
      <sharedItems containsSemiMixedTypes="0" containsString="0" containsNumber="1" containsInteger="1" minValue="305" maxValue="988391"/>
    </cacheField>
    <cacheField name="hum" numFmtId="0">
      <sharedItems containsSemiMixedTypes="0" containsString="0" containsNumber="1" containsInteger="1" minValue="0" maxValue="970417"/>
    </cacheField>
    <cacheField name="windspeed" numFmtId="0">
      <sharedItems containsSemiMixedTypes="0" containsString="0" containsNumber="1" containsInteger="1" minValue="102" maxValue="995125"/>
    </cacheField>
    <cacheField name="casual" numFmtId="0">
      <sharedItems containsSemiMixedTypes="0" containsString="0" containsNumber="1" containsInteger="1" minValue="2" maxValue="3410"/>
    </cacheField>
    <cacheField name="registered" numFmtId="0">
      <sharedItems containsSemiMixedTypes="0" containsString="0" containsNumber="1" containsInteger="1" minValue="20" maxValue="6946"/>
    </cacheField>
    <cacheField name="cnt" numFmtId="0">
      <sharedItems containsSemiMixedTypes="0" containsString="0" containsNumber="1" containsInteger="1" minValue="22" maxValue="8714"/>
    </cacheField>
  </cacheFields>
  <extLst>
    <ext xmlns:x14="http://schemas.microsoft.com/office/spreadsheetml/2009/9/main" uri="{725AE2AE-9491-48be-B2B4-4EB974FC3084}">
      <x14:pivotCacheDefinition pivotCacheId="11372426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1">
  <r>
    <d v="2011-01-02T00:00:00"/>
    <x v="0"/>
    <x v="0"/>
    <x v="0"/>
    <n v="0"/>
    <x v="0"/>
    <x v="0"/>
    <x v="0"/>
    <n v="363478"/>
    <n v="353739"/>
    <n v="696087"/>
    <n v="248539"/>
    <n v="131"/>
    <n v="670"/>
    <n v="801"/>
  </r>
  <r>
    <d v="2011-01-09T00:00:00"/>
    <x v="0"/>
    <x v="0"/>
    <x v="0"/>
    <n v="0"/>
    <x v="0"/>
    <x v="0"/>
    <x v="1"/>
    <n v="138333"/>
    <n v="116175"/>
    <n v="434167"/>
    <n v="36195"/>
    <n v="54"/>
    <n v="768"/>
    <n v="822"/>
  </r>
  <r>
    <d v="2011-01-16T00:00:00"/>
    <x v="0"/>
    <x v="0"/>
    <x v="0"/>
    <n v="0"/>
    <x v="0"/>
    <x v="0"/>
    <x v="1"/>
    <n v="231667"/>
    <n v="234217"/>
    <n v="48375"/>
    <n v="188433"/>
    <n v="251"/>
    <n v="953"/>
    <n v="1204"/>
  </r>
  <r>
    <d v="2011-01-23T00:00:00"/>
    <x v="0"/>
    <x v="0"/>
    <x v="0"/>
    <n v="0"/>
    <x v="0"/>
    <x v="0"/>
    <x v="1"/>
    <n v="965217"/>
    <n v="988391"/>
    <n v="436522"/>
    <n v="2466"/>
    <n v="150"/>
    <n v="836"/>
    <n v="986"/>
  </r>
  <r>
    <d v="2011-01-30T00:00:00"/>
    <x v="0"/>
    <x v="0"/>
    <x v="0"/>
    <n v="0"/>
    <x v="0"/>
    <x v="0"/>
    <x v="1"/>
    <n v="216522"/>
    <n v="250322"/>
    <n v="722174"/>
    <n v="739826"/>
    <n v="140"/>
    <n v="956"/>
    <n v="1096"/>
  </r>
  <r>
    <d v="2011-02-06T00:00:00"/>
    <x v="0"/>
    <x v="0"/>
    <x v="1"/>
    <n v="0"/>
    <x v="0"/>
    <x v="0"/>
    <x v="1"/>
    <n v="285833"/>
    <n v="291671"/>
    <n v="568333"/>
    <n v="1418"/>
    <n v="354"/>
    <n v="1269"/>
    <n v="1623"/>
  </r>
  <r>
    <d v="2011-02-13T00:00:00"/>
    <x v="0"/>
    <x v="0"/>
    <x v="1"/>
    <n v="0"/>
    <x v="0"/>
    <x v="0"/>
    <x v="1"/>
    <n v="316522"/>
    <n v="324113"/>
    <n v="457391"/>
    <n v="260883"/>
    <n v="397"/>
    <n v="1192"/>
    <n v="1589"/>
  </r>
  <r>
    <d v="2011-02-20T00:00:00"/>
    <x v="0"/>
    <x v="0"/>
    <x v="1"/>
    <n v="0"/>
    <x v="0"/>
    <x v="0"/>
    <x v="1"/>
    <n v="285217"/>
    <n v="27733"/>
    <n v="407826"/>
    <n v="223235"/>
    <n v="639"/>
    <n v="1173"/>
    <n v="1812"/>
  </r>
  <r>
    <d v="2011-02-27T00:00:00"/>
    <x v="0"/>
    <x v="0"/>
    <x v="1"/>
    <n v="0"/>
    <x v="0"/>
    <x v="0"/>
    <x v="1"/>
    <n v="343478"/>
    <n v="351109"/>
    <n v="68"/>
    <n v="125248"/>
    <n v="694"/>
    <n v="1708"/>
    <n v="2402"/>
  </r>
  <r>
    <d v="2011-03-06T00:00:00"/>
    <x v="0"/>
    <x v="0"/>
    <x v="2"/>
    <n v="0"/>
    <x v="0"/>
    <x v="0"/>
    <x v="0"/>
    <n v="376522"/>
    <n v="366252"/>
    <n v="948261"/>
    <n v="343287"/>
    <n v="114"/>
    <n v="491"/>
    <n v="605"/>
  </r>
  <r>
    <d v="2011-03-13T00:00:00"/>
    <x v="0"/>
    <x v="0"/>
    <x v="2"/>
    <n v="0"/>
    <x v="0"/>
    <x v="0"/>
    <x v="1"/>
    <n v="384348"/>
    <n v="380091"/>
    <n v="527391"/>
    <n v="270604"/>
    <n v="982"/>
    <n v="1435"/>
    <n v="2417"/>
  </r>
  <r>
    <d v="2011-03-20T00:00:00"/>
    <x v="0"/>
    <x v="0"/>
    <x v="2"/>
    <n v="0"/>
    <x v="0"/>
    <x v="0"/>
    <x v="1"/>
    <n v="3325"/>
    <n v="32575"/>
    <n v="47375"/>
    <n v="207721"/>
    <n v="1047"/>
    <n v="1424"/>
    <n v="2471"/>
  </r>
  <r>
    <d v="2011-03-27T00:00:00"/>
    <x v="1"/>
    <x v="0"/>
    <x v="2"/>
    <n v="0"/>
    <x v="0"/>
    <x v="0"/>
    <x v="0"/>
    <n v="253043"/>
    <n v="250339"/>
    <n v="493913"/>
    <n v="1843"/>
    <n v="472"/>
    <n v="1221"/>
    <n v="1693"/>
  </r>
  <r>
    <d v="2011-04-03T00:00:00"/>
    <x v="1"/>
    <x v="0"/>
    <x v="3"/>
    <n v="0"/>
    <x v="0"/>
    <x v="0"/>
    <x v="1"/>
    <n v="378333"/>
    <n v="378767"/>
    <n v="48"/>
    <n v="182213"/>
    <n v="1651"/>
    <n v="1598"/>
    <n v="3249"/>
  </r>
  <r>
    <d v="2011-04-10T00:00:00"/>
    <x v="1"/>
    <x v="0"/>
    <x v="3"/>
    <n v="0"/>
    <x v="0"/>
    <x v="0"/>
    <x v="0"/>
    <n v="426667"/>
    <n v="426737"/>
    <n v="8575"/>
    <n v="146767"/>
    <n v="1188"/>
    <n v="1707"/>
    <n v="2895"/>
  </r>
  <r>
    <d v="2011-04-17T00:00:00"/>
    <x v="1"/>
    <x v="0"/>
    <x v="3"/>
    <n v="0"/>
    <x v="0"/>
    <x v="0"/>
    <x v="1"/>
    <n v="456667"/>
    <n v="445696"/>
    <n v="479583"/>
    <n v="303496"/>
    <n v="1558"/>
    <n v="2186"/>
    <n v="3744"/>
  </r>
  <r>
    <d v="2011-04-24T00:00:00"/>
    <x v="1"/>
    <x v="0"/>
    <x v="3"/>
    <n v="0"/>
    <x v="0"/>
    <x v="0"/>
    <x v="0"/>
    <n v="581667"/>
    <n v="551763"/>
    <n v="810833"/>
    <n v="192175"/>
    <n v="1710"/>
    <n v="2481"/>
    <n v="4191"/>
  </r>
  <r>
    <d v="2011-05-01T00:00:00"/>
    <x v="1"/>
    <x v="0"/>
    <x v="4"/>
    <n v="0"/>
    <x v="0"/>
    <x v="0"/>
    <x v="0"/>
    <n v="451667"/>
    <n v="448204"/>
    <n v="762083"/>
    <n v="106354"/>
    <n v="1138"/>
    <n v="2213"/>
    <n v="3351"/>
  </r>
  <r>
    <d v="2011-05-08T00:00:00"/>
    <x v="1"/>
    <x v="0"/>
    <x v="4"/>
    <n v="0"/>
    <x v="0"/>
    <x v="0"/>
    <x v="1"/>
    <n v="528333"/>
    <n v="518933"/>
    <n v="631667"/>
    <n v="746375"/>
    <n v="1401"/>
    <n v="2932"/>
    <n v="4333"/>
  </r>
  <r>
    <d v="2011-05-15T00:00:00"/>
    <x v="1"/>
    <x v="0"/>
    <x v="4"/>
    <n v="0"/>
    <x v="0"/>
    <x v="0"/>
    <x v="0"/>
    <n v="5625"/>
    <n v="536"/>
    <n v="867083"/>
    <n v="152979"/>
    <n v="1582"/>
    <n v="2971"/>
    <n v="4553"/>
  </r>
  <r>
    <d v="2011-05-22T00:00:00"/>
    <x v="1"/>
    <x v="0"/>
    <x v="4"/>
    <n v="0"/>
    <x v="0"/>
    <x v="0"/>
    <x v="1"/>
    <n v="604167"/>
    <n v="5745"/>
    <n v="749583"/>
    <n v="148008"/>
    <n v="1576"/>
    <n v="3084"/>
    <n v="4660"/>
  </r>
  <r>
    <d v="2011-05-29T00:00:00"/>
    <x v="1"/>
    <x v="0"/>
    <x v="4"/>
    <n v="0"/>
    <x v="0"/>
    <x v="0"/>
    <x v="1"/>
    <n v="6675"/>
    <n v="61555"/>
    <n v="81875"/>
    <n v="213938"/>
    <n v="2355"/>
    <n v="2433"/>
    <n v="4788"/>
  </r>
  <r>
    <d v="2011-06-05T00:00:00"/>
    <x v="1"/>
    <x v="0"/>
    <x v="5"/>
    <n v="0"/>
    <x v="0"/>
    <x v="0"/>
    <x v="0"/>
    <n v="648333"/>
    <n v="616804"/>
    <n v="6525"/>
    <n v="138692"/>
    <n v="1685"/>
    <n v="3221"/>
    <n v="4906"/>
  </r>
  <r>
    <d v="2011-06-12T00:00:00"/>
    <x v="1"/>
    <x v="0"/>
    <x v="5"/>
    <n v="0"/>
    <x v="0"/>
    <x v="0"/>
    <x v="1"/>
    <n v="6925"/>
    <n v="643325"/>
    <n v="747917"/>
    <n v="163567"/>
    <n v="1467"/>
    <n v="2993"/>
    <n v="4460"/>
  </r>
  <r>
    <d v="2011-06-19T00:00:00"/>
    <x v="1"/>
    <x v="0"/>
    <x v="5"/>
    <n v="0"/>
    <x v="0"/>
    <x v="0"/>
    <x v="0"/>
    <n v="699167"/>
    <n v="645846"/>
    <n v="666667"/>
    <n v="102"/>
    <n v="1639"/>
    <n v="3105"/>
    <n v="4744"/>
  </r>
  <r>
    <d v="2011-06-26T00:00:00"/>
    <x v="2"/>
    <x v="0"/>
    <x v="5"/>
    <n v="0"/>
    <x v="0"/>
    <x v="0"/>
    <x v="1"/>
    <n v="68"/>
    <n v="637629"/>
    <n v="513333"/>
    <n v="945333"/>
    <n v="1920"/>
    <n v="3385"/>
    <n v="5305"/>
  </r>
  <r>
    <d v="2011-07-03T00:00:00"/>
    <x v="2"/>
    <x v="0"/>
    <x v="6"/>
    <n v="0"/>
    <x v="0"/>
    <x v="0"/>
    <x v="0"/>
    <n v="716667"/>
    <n v="668575"/>
    <n v="6825"/>
    <n v="228858"/>
    <n v="2282"/>
    <n v="2367"/>
    <n v="4649"/>
  </r>
  <r>
    <d v="2011-07-10T00:00:00"/>
    <x v="2"/>
    <x v="0"/>
    <x v="6"/>
    <n v="0"/>
    <x v="0"/>
    <x v="0"/>
    <x v="1"/>
    <n v="7475"/>
    <n v="690025"/>
    <n v="578333"/>
    <n v="183471"/>
    <n v="1743"/>
    <n v="3138"/>
    <n v="4881"/>
  </r>
  <r>
    <d v="2011-07-17T00:00:00"/>
    <x v="2"/>
    <x v="0"/>
    <x v="6"/>
    <n v="0"/>
    <x v="0"/>
    <x v="0"/>
    <x v="1"/>
    <n v="719167"/>
    <n v="669833"/>
    <n v="604167"/>
    <n v="245033"/>
    <n v="2006"/>
    <n v="3296"/>
    <n v="5302"/>
  </r>
  <r>
    <d v="2011-07-24T00:00:00"/>
    <x v="2"/>
    <x v="0"/>
    <x v="6"/>
    <n v="0"/>
    <x v="0"/>
    <x v="0"/>
    <x v="1"/>
    <n v="83"/>
    <n v="794829"/>
    <n v="550833"/>
    <n v="169171"/>
    <n v="1050"/>
    <n v="2556"/>
    <n v="3606"/>
  </r>
  <r>
    <d v="2011-07-31T00:00:00"/>
    <x v="2"/>
    <x v="0"/>
    <x v="6"/>
    <n v="0"/>
    <x v="0"/>
    <x v="0"/>
    <x v="1"/>
    <n v="805833"/>
    <n v="729796"/>
    <n v="480833"/>
    <n v="164813"/>
    <n v="1524"/>
    <n v="2778"/>
    <n v="4302"/>
  </r>
  <r>
    <d v="2011-08-07T00:00:00"/>
    <x v="2"/>
    <x v="0"/>
    <x v="7"/>
    <n v="0"/>
    <x v="0"/>
    <x v="0"/>
    <x v="1"/>
    <n v="7425"/>
    <n v="715292"/>
    <n v="752917"/>
    <n v="201487"/>
    <n v="1298"/>
    <n v="2487"/>
    <n v="3785"/>
  </r>
  <r>
    <d v="2011-08-14T00:00:00"/>
    <x v="2"/>
    <x v="0"/>
    <x v="7"/>
    <n v="0"/>
    <x v="0"/>
    <x v="0"/>
    <x v="0"/>
    <n v="676667"/>
    <n v="624388"/>
    <n v="8175"/>
    <n v="222633"/>
    <n v="1338"/>
    <n v="2482"/>
    <n v="3820"/>
  </r>
  <r>
    <d v="2011-08-21T00:00:00"/>
    <x v="2"/>
    <x v="0"/>
    <x v="7"/>
    <n v="0"/>
    <x v="0"/>
    <x v="0"/>
    <x v="1"/>
    <n v="710833"/>
    <n v="675525"/>
    <n v="77"/>
    <n v="248754"/>
    <n v="1249"/>
    <n v="2624"/>
    <n v="3873"/>
  </r>
  <r>
    <d v="2011-08-28T00:00:00"/>
    <x v="2"/>
    <x v="0"/>
    <x v="7"/>
    <n v="0"/>
    <x v="0"/>
    <x v="0"/>
    <x v="1"/>
    <n v="707059"/>
    <n v="647959"/>
    <n v="561765"/>
    <n v="304659"/>
    <n v="1415"/>
    <n v="2919"/>
    <n v="4334"/>
  </r>
  <r>
    <d v="2011-09-04T00:00:00"/>
    <x v="2"/>
    <x v="0"/>
    <x v="8"/>
    <n v="0"/>
    <x v="0"/>
    <x v="0"/>
    <x v="1"/>
    <n v="709167"/>
    <n v="665429"/>
    <n v="742083"/>
    <n v="206467"/>
    <n v="2521"/>
    <n v="2419"/>
    <n v="4940"/>
  </r>
  <r>
    <d v="2011-09-11T00:00:00"/>
    <x v="2"/>
    <x v="0"/>
    <x v="8"/>
    <n v="0"/>
    <x v="0"/>
    <x v="0"/>
    <x v="1"/>
    <n v="653333"/>
    <n v="609229"/>
    <n v="71375"/>
    <n v="115054"/>
    <n v="1633"/>
    <n v="3413"/>
    <n v="5046"/>
  </r>
  <r>
    <d v="2011-09-18T00:00:00"/>
    <x v="2"/>
    <x v="0"/>
    <x v="8"/>
    <n v="0"/>
    <x v="0"/>
    <x v="0"/>
    <x v="1"/>
    <n v="5075"/>
    <n v="490537"/>
    <n v="695"/>
    <n v="178483"/>
    <n v="1353"/>
    <n v="2921"/>
    <n v="4274"/>
  </r>
  <r>
    <d v="2011-09-25T00:00:00"/>
    <x v="3"/>
    <x v="0"/>
    <x v="8"/>
    <n v="0"/>
    <x v="0"/>
    <x v="0"/>
    <x v="0"/>
    <n v="634167"/>
    <n v="572637"/>
    <n v="845"/>
    <n v="503792"/>
    <n v="1544"/>
    <n v="3466"/>
    <n v="5010"/>
  </r>
  <r>
    <d v="2011-10-02T00:00:00"/>
    <x v="3"/>
    <x v="0"/>
    <x v="9"/>
    <n v="0"/>
    <x v="0"/>
    <x v="0"/>
    <x v="0"/>
    <n v="356667"/>
    <n v="345317"/>
    <n v="791667"/>
    <n v="222013"/>
    <n v="616"/>
    <n v="2302"/>
    <n v="2918"/>
  </r>
  <r>
    <d v="2011-10-09T00:00:00"/>
    <x v="3"/>
    <x v="0"/>
    <x v="9"/>
    <n v="0"/>
    <x v="0"/>
    <x v="0"/>
    <x v="1"/>
    <n v="540833"/>
    <n v="523983"/>
    <n v="7275"/>
    <n v="6345"/>
    <n v="2397"/>
    <n v="3114"/>
    <n v="5511"/>
  </r>
  <r>
    <d v="2011-10-16T00:00:00"/>
    <x v="3"/>
    <x v="0"/>
    <x v="9"/>
    <n v="0"/>
    <x v="0"/>
    <x v="0"/>
    <x v="1"/>
    <n v="511667"/>
    <n v="503154"/>
    <n v="486667"/>
    <n v="281717"/>
    <n v="1748"/>
    <n v="3293"/>
    <n v="5041"/>
  </r>
  <r>
    <d v="2011-10-23T00:00:00"/>
    <x v="3"/>
    <x v="0"/>
    <x v="9"/>
    <n v="0"/>
    <x v="0"/>
    <x v="0"/>
    <x v="1"/>
    <n v="421667"/>
    <n v="422333"/>
    <n v="74125"/>
    <n v="995125"/>
    <n v="1619"/>
    <n v="2762"/>
    <n v="4381"/>
  </r>
  <r>
    <d v="2011-10-30T00:00:00"/>
    <x v="3"/>
    <x v="0"/>
    <x v="9"/>
    <n v="0"/>
    <x v="0"/>
    <x v="0"/>
    <x v="1"/>
    <n v="319167"/>
    <n v="321329"/>
    <n v="62375"/>
    <n v="176617"/>
    <n v="885"/>
    <n v="2446"/>
    <n v="3331"/>
  </r>
  <r>
    <d v="2011-11-06T00:00:00"/>
    <x v="3"/>
    <x v="0"/>
    <x v="10"/>
    <n v="0"/>
    <x v="0"/>
    <x v="0"/>
    <x v="1"/>
    <n v="348333"/>
    <n v="362358"/>
    <n v="734583"/>
    <n v="920542"/>
    <n v="952"/>
    <n v="2697"/>
    <n v="3649"/>
  </r>
  <r>
    <d v="2011-11-13T00:00:00"/>
    <x v="3"/>
    <x v="0"/>
    <x v="10"/>
    <n v="0"/>
    <x v="0"/>
    <x v="0"/>
    <x v="1"/>
    <n v="440833"/>
    <n v="43055"/>
    <n v="458333"/>
    <n v="281721"/>
    <n v="1004"/>
    <n v="2713"/>
    <n v="3717"/>
  </r>
  <r>
    <d v="2011-11-20T00:00:00"/>
    <x v="3"/>
    <x v="0"/>
    <x v="10"/>
    <n v="0"/>
    <x v="0"/>
    <x v="0"/>
    <x v="0"/>
    <n v="463333"/>
    <n v="457058"/>
    <n v="684583"/>
    <n v="18595"/>
    <n v="787"/>
    <n v="2733"/>
    <n v="3520"/>
  </r>
  <r>
    <d v="2011-11-27T00:00:00"/>
    <x v="3"/>
    <x v="0"/>
    <x v="10"/>
    <n v="0"/>
    <x v="0"/>
    <x v="0"/>
    <x v="1"/>
    <n v="459167"/>
    <n v="4558"/>
    <n v="698333"/>
    <n v="208954"/>
    <n v="810"/>
    <n v="2261"/>
    <n v="3071"/>
  </r>
  <r>
    <d v="2011-12-04T00:00:00"/>
    <x v="3"/>
    <x v="0"/>
    <x v="11"/>
    <n v="0"/>
    <x v="0"/>
    <x v="0"/>
    <x v="1"/>
    <n v="330833"/>
    <n v="3491"/>
    <n v="775833"/>
    <n v="839583"/>
    <n v="634"/>
    <n v="2851"/>
    <n v="3485"/>
  </r>
  <r>
    <d v="2011-12-11T00:00:00"/>
    <x v="3"/>
    <x v="0"/>
    <x v="11"/>
    <n v="0"/>
    <x v="0"/>
    <x v="0"/>
    <x v="1"/>
    <n v="220833"/>
    <n v="253154"/>
    <n v="49"/>
    <n v="665417"/>
    <n v="377"/>
    <n v="2366"/>
    <n v="2743"/>
  </r>
  <r>
    <d v="2011-12-18T00:00:00"/>
    <x v="3"/>
    <x v="0"/>
    <x v="11"/>
    <n v="0"/>
    <x v="0"/>
    <x v="0"/>
    <x v="1"/>
    <n v="238333"/>
    <n v="245579"/>
    <n v="58625"/>
    <n v="169779"/>
    <n v="220"/>
    <n v="2211"/>
    <n v="2431"/>
  </r>
  <r>
    <d v="2011-12-25T00:00:00"/>
    <x v="0"/>
    <x v="0"/>
    <x v="11"/>
    <n v="0"/>
    <x v="0"/>
    <x v="0"/>
    <x v="1"/>
    <n v="274783"/>
    <n v="279961"/>
    <n v="681304"/>
    <n v="155091"/>
    <n v="303"/>
    <n v="451"/>
    <n v="754"/>
  </r>
  <r>
    <d v="2012-01-01T00:00:00"/>
    <x v="0"/>
    <x v="1"/>
    <x v="0"/>
    <n v="0"/>
    <x v="0"/>
    <x v="0"/>
    <x v="1"/>
    <n v="37"/>
    <n v="375621"/>
    <n v="6925"/>
    <n v="192167"/>
    <n v="686"/>
    <n v="1608"/>
    <n v="2294"/>
  </r>
  <r>
    <d v="2012-01-08T00:00:00"/>
    <x v="0"/>
    <x v="1"/>
    <x v="0"/>
    <n v="0"/>
    <x v="0"/>
    <x v="0"/>
    <x v="1"/>
    <n v="3375"/>
    <n v="340258"/>
    <n v="465"/>
    <n v="191542"/>
    <n v="599"/>
    <n v="2826"/>
    <n v="3425"/>
  </r>
  <r>
    <d v="2012-01-15T00:00:00"/>
    <x v="0"/>
    <x v="1"/>
    <x v="0"/>
    <n v="0"/>
    <x v="0"/>
    <x v="0"/>
    <x v="1"/>
    <n v="166667"/>
    <n v="161625"/>
    <n v="419167"/>
    <n v="251258"/>
    <n v="284"/>
    <n v="2027"/>
    <n v="2311"/>
  </r>
  <r>
    <d v="2012-01-22T00:00:00"/>
    <x v="0"/>
    <x v="1"/>
    <x v="0"/>
    <n v="0"/>
    <x v="0"/>
    <x v="0"/>
    <x v="0"/>
    <n v="1625"/>
    <n v="16225"/>
    <n v="79625"/>
    <n v="199638"/>
    <n v="196"/>
    <n v="1781"/>
    <n v="1977"/>
  </r>
  <r>
    <d v="2012-01-29T00:00:00"/>
    <x v="0"/>
    <x v="1"/>
    <x v="0"/>
    <n v="0"/>
    <x v="0"/>
    <x v="0"/>
    <x v="1"/>
    <n v="2825"/>
    <n v="272721"/>
    <n v="31125"/>
    <n v="24005"/>
    <n v="558"/>
    <n v="2685"/>
    <n v="3243"/>
  </r>
  <r>
    <d v="2012-02-05T00:00:00"/>
    <x v="0"/>
    <x v="1"/>
    <x v="1"/>
    <n v="0"/>
    <x v="0"/>
    <x v="0"/>
    <x v="0"/>
    <n v="265833"/>
    <n v="264521"/>
    <n v="687917"/>
    <n v="175996"/>
    <n v="318"/>
    <n v="2629"/>
    <n v="2947"/>
  </r>
  <r>
    <d v="2012-02-12T00:00:00"/>
    <x v="0"/>
    <x v="1"/>
    <x v="1"/>
    <n v="0"/>
    <x v="0"/>
    <x v="0"/>
    <x v="1"/>
    <n v="1275"/>
    <n v="101658"/>
    <n v="464583"/>
    <n v="409212"/>
    <n v="73"/>
    <n v="1456"/>
    <n v="1529"/>
  </r>
  <r>
    <d v="2012-02-19T00:00:00"/>
    <x v="0"/>
    <x v="1"/>
    <x v="1"/>
    <n v="0"/>
    <x v="0"/>
    <x v="0"/>
    <x v="0"/>
    <n v="28"/>
    <n v="265788"/>
    <n v="515833"/>
    <n v="253112"/>
    <n v="618"/>
    <n v="2071"/>
    <n v="2689"/>
  </r>
  <r>
    <d v="2012-02-26T00:00:00"/>
    <x v="0"/>
    <x v="1"/>
    <x v="1"/>
    <n v="0"/>
    <x v="0"/>
    <x v="0"/>
    <x v="1"/>
    <n v="279167"/>
    <n v="268308"/>
    <n v="41"/>
    <n v="205229"/>
    <n v="515"/>
    <n v="2874"/>
    <n v="3389"/>
  </r>
  <r>
    <d v="2012-03-04T00:00:00"/>
    <x v="0"/>
    <x v="1"/>
    <x v="2"/>
    <n v="0"/>
    <x v="0"/>
    <x v="0"/>
    <x v="1"/>
    <n v="325833"/>
    <n v="303021"/>
    <n v="403333"/>
    <n v="334571"/>
    <n v="710"/>
    <n v="2713"/>
    <n v="3423"/>
  </r>
  <r>
    <d v="2012-03-11T00:00:00"/>
    <x v="0"/>
    <x v="1"/>
    <x v="2"/>
    <n v="0"/>
    <x v="0"/>
    <x v="0"/>
    <x v="1"/>
    <n v="361739"/>
    <n v="35967"/>
    <n v="476957"/>
    <n v="222587"/>
    <n v="1658"/>
    <n v="3253"/>
    <n v="4911"/>
  </r>
  <r>
    <d v="2012-03-18T00:00:00"/>
    <x v="0"/>
    <x v="1"/>
    <x v="2"/>
    <n v="0"/>
    <x v="0"/>
    <x v="0"/>
    <x v="0"/>
    <n v="4725"/>
    <n v="464"/>
    <n v="81"/>
    <n v="126883"/>
    <n v="2207"/>
    <n v="3685"/>
    <n v="5892"/>
  </r>
  <r>
    <d v="2012-03-25T00:00:00"/>
    <x v="1"/>
    <x v="1"/>
    <x v="2"/>
    <n v="0"/>
    <x v="0"/>
    <x v="0"/>
    <x v="0"/>
    <n v="4375"/>
    <n v="437488"/>
    <n v="880833"/>
    <n v="220775"/>
    <n v="1532"/>
    <n v="3464"/>
    <n v="4996"/>
  </r>
  <r>
    <d v="2012-04-01T00:00:00"/>
    <x v="1"/>
    <x v="1"/>
    <x v="3"/>
    <n v="0"/>
    <x v="0"/>
    <x v="0"/>
    <x v="0"/>
    <n v="425833"/>
    <n v="417287"/>
    <n v="67625"/>
    <n v="172267"/>
    <n v="2347"/>
    <n v="3694"/>
    <n v="6041"/>
  </r>
  <r>
    <d v="2012-04-08T00:00:00"/>
    <x v="1"/>
    <x v="1"/>
    <x v="3"/>
    <n v="0"/>
    <x v="0"/>
    <x v="0"/>
    <x v="1"/>
    <n v="5"/>
    <n v="492425"/>
    <n v="275833"/>
    <n v="232596"/>
    <n v="2230"/>
    <n v="2939"/>
    <n v="5169"/>
  </r>
  <r>
    <d v="2012-04-15T00:00:00"/>
    <x v="1"/>
    <x v="1"/>
    <x v="3"/>
    <n v="0"/>
    <x v="0"/>
    <x v="0"/>
    <x v="1"/>
    <n v="606667"/>
    <n v="573875"/>
    <n v="507917"/>
    <n v="225129"/>
    <n v="2846"/>
    <n v="4286"/>
    <n v="7132"/>
  </r>
  <r>
    <d v="2012-04-22T00:00:00"/>
    <x v="1"/>
    <x v="1"/>
    <x v="3"/>
    <n v="0"/>
    <x v="0"/>
    <x v="0"/>
    <x v="2"/>
    <n v="396667"/>
    <n v="389504"/>
    <n v="835417"/>
    <n v="344546"/>
    <n v="120"/>
    <n v="907"/>
    <n v="1027"/>
  </r>
  <r>
    <d v="2012-04-29T00:00:00"/>
    <x v="1"/>
    <x v="1"/>
    <x v="3"/>
    <n v="0"/>
    <x v="0"/>
    <x v="0"/>
    <x v="1"/>
    <n v="458333"/>
    <n v="450121"/>
    <n v="587083"/>
    <n v="116908"/>
    <n v="2229"/>
    <n v="4075"/>
    <n v="6304"/>
  </r>
  <r>
    <d v="2012-05-06T00:00:00"/>
    <x v="1"/>
    <x v="1"/>
    <x v="4"/>
    <n v="0"/>
    <x v="0"/>
    <x v="0"/>
    <x v="0"/>
    <n v="5625"/>
    <n v="546737"/>
    <n v="74"/>
    <n v="149879"/>
    <n v="2135"/>
    <n v="4224"/>
    <n v="6359"/>
  </r>
  <r>
    <d v="2012-05-13T00:00:00"/>
    <x v="1"/>
    <x v="1"/>
    <x v="4"/>
    <n v="0"/>
    <x v="0"/>
    <x v="0"/>
    <x v="1"/>
    <n v="6125"/>
    <n v="585238"/>
    <n v="57625"/>
    <n v="225117"/>
    <n v="2172"/>
    <n v="3946"/>
    <n v="6118"/>
  </r>
  <r>
    <d v="2012-05-20T00:00:00"/>
    <x v="1"/>
    <x v="1"/>
    <x v="4"/>
    <n v="0"/>
    <x v="0"/>
    <x v="0"/>
    <x v="1"/>
    <n v="620833"/>
    <n v="583967"/>
    <n v="530417"/>
    <n v="254367"/>
    <n v="2704"/>
    <n v="4425"/>
    <n v="7129"/>
  </r>
  <r>
    <d v="2012-05-27T00:00:00"/>
    <x v="1"/>
    <x v="1"/>
    <x v="4"/>
    <n v="0"/>
    <x v="0"/>
    <x v="0"/>
    <x v="1"/>
    <n v="69"/>
    <n v="641425"/>
    <n v="697083"/>
    <n v="215171"/>
    <n v="3283"/>
    <n v="3308"/>
    <n v="6591"/>
  </r>
  <r>
    <d v="2012-06-03T00:00:00"/>
    <x v="1"/>
    <x v="1"/>
    <x v="5"/>
    <n v="0"/>
    <x v="0"/>
    <x v="0"/>
    <x v="1"/>
    <n v="6025"/>
    <n v="575133"/>
    <n v="493333"/>
    <n v="184087"/>
    <n v="2494"/>
    <n v="5147"/>
    <n v="7641"/>
  </r>
  <r>
    <d v="2012-06-10T00:00:00"/>
    <x v="1"/>
    <x v="1"/>
    <x v="5"/>
    <n v="0"/>
    <x v="0"/>
    <x v="0"/>
    <x v="1"/>
    <n v="726667"/>
    <n v="663517"/>
    <n v="538333"/>
    <n v="133721"/>
    <n v="2224"/>
    <n v="4374"/>
    <n v="6598"/>
  </r>
  <r>
    <d v="2012-06-17T00:00:00"/>
    <x v="1"/>
    <x v="1"/>
    <x v="5"/>
    <n v="0"/>
    <x v="0"/>
    <x v="0"/>
    <x v="1"/>
    <n v="5925"/>
    <n v="571975"/>
    <n v="59875"/>
    <n v="144904"/>
    <n v="2634"/>
    <n v="4344"/>
    <n v="6978"/>
  </r>
  <r>
    <d v="2012-06-24T00:00:00"/>
    <x v="2"/>
    <x v="1"/>
    <x v="5"/>
    <n v="0"/>
    <x v="0"/>
    <x v="0"/>
    <x v="1"/>
    <n v="743333"/>
    <n v="674254"/>
    <n v="479167"/>
    <n v="145525"/>
    <n v="2551"/>
    <n v="4340"/>
    <n v="6891"/>
  </r>
  <r>
    <d v="2012-07-01T00:00:00"/>
    <x v="2"/>
    <x v="1"/>
    <x v="6"/>
    <n v="0"/>
    <x v="0"/>
    <x v="0"/>
    <x v="1"/>
    <n v="815833"/>
    <n v="750629"/>
    <n v="51875"/>
    <n v="168529"/>
    <n v="1421"/>
    <n v="4110"/>
    <n v="5531"/>
  </r>
  <r>
    <d v="2012-07-08T00:00:00"/>
    <x v="2"/>
    <x v="1"/>
    <x v="6"/>
    <n v="0"/>
    <x v="0"/>
    <x v="0"/>
    <x v="1"/>
    <n v="8225"/>
    <n v="790396"/>
    <n v="57375"/>
    <n v="125629"/>
    <n v="1203"/>
    <n v="3469"/>
    <n v="4672"/>
  </r>
  <r>
    <d v="2012-07-15T00:00:00"/>
    <x v="2"/>
    <x v="1"/>
    <x v="6"/>
    <n v="0"/>
    <x v="0"/>
    <x v="0"/>
    <x v="1"/>
    <n v="745833"/>
    <n v="705196"/>
    <n v="717917"/>
    <n v="166667"/>
    <n v="1920"/>
    <n v="4111"/>
    <n v="6031"/>
  </r>
  <r>
    <d v="2012-07-22T00:00:00"/>
    <x v="2"/>
    <x v="1"/>
    <x v="6"/>
    <n v="0"/>
    <x v="0"/>
    <x v="0"/>
    <x v="0"/>
    <n v="6675"/>
    <n v="623125"/>
    <n v="7625"/>
    <n v="939208"/>
    <n v="2544"/>
    <n v="4866"/>
    <n v="7410"/>
  </r>
  <r>
    <d v="2012-07-29T00:00:00"/>
    <x v="2"/>
    <x v="1"/>
    <x v="6"/>
    <n v="0"/>
    <x v="0"/>
    <x v="0"/>
    <x v="1"/>
    <n v="721667"/>
    <n v="667933"/>
    <n v="62375"/>
    <n v="170396"/>
    <n v="2153"/>
    <n v="4444"/>
    <n v="6597"/>
  </r>
  <r>
    <d v="2012-08-05T00:00:00"/>
    <x v="2"/>
    <x v="1"/>
    <x v="7"/>
    <n v="0"/>
    <x v="0"/>
    <x v="0"/>
    <x v="1"/>
    <n v="769167"/>
    <n v="731079"/>
    <n v="6525"/>
    <n v="290421"/>
    <n v="1707"/>
    <n v="3757"/>
    <n v="5464"/>
  </r>
  <r>
    <d v="2012-08-12T00:00:00"/>
    <x v="2"/>
    <x v="1"/>
    <x v="7"/>
    <n v="0"/>
    <x v="0"/>
    <x v="0"/>
    <x v="1"/>
    <n v="700833"/>
    <n v="644579"/>
    <n v="530417"/>
    <n v="122512"/>
    <n v="2182"/>
    <n v="4362"/>
    <n v="6544"/>
  </r>
  <r>
    <d v="2012-08-19T00:00:00"/>
    <x v="2"/>
    <x v="1"/>
    <x v="7"/>
    <n v="0"/>
    <x v="0"/>
    <x v="0"/>
    <x v="0"/>
    <n v="635833"/>
    <n v="603554"/>
    <n v="711667"/>
    <n v="8645"/>
    <n v="1208"/>
    <n v="3341"/>
    <n v="4549"/>
  </r>
  <r>
    <d v="2012-08-26T00:00:00"/>
    <x v="2"/>
    <x v="1"/>
    <x v="7"/>
    <n v="0"/>
    <x v="0"/>
    <x v="0"/>
    <x v="0"/>
    <n v="653333"/>
    <n v="595996"/>
    <n v="845833"/>
    <n v="228858"/>
    <n v="1483"/>
    <n v="3772"/>
    <n v="5255"/>
  </r>
  <r>
    <d v="2012-09-02T00:00:00"/>
    <x v="2"/>
    <x v="1"/>
    <x v="8"/>
    <n v="0"/>
    <x v="0"/>
    <x v="0"/>
    <x v="0"/>
    <n v="696667"/>
    <n v="649"/>
    <n v="815"/>
    <n v="640708"/>
    <n v="2613"/>
    <n v="3197"/>
    <n v="5810"/>
  </r>
  <r>
    <d v="2012-09-09T00:00:00"/>
    <x v="2"/>
    <x v="1"/>
    <x v="8"/>
    <n v="0"/>
    <x v="0"/>
    <x v="0"/>
    <x v="1"/>
    <n v="61"/>
    <n v="578925"/>
    <n v="5475"/>
    <n v="224496"/>
    <n v="2570"/>
    <n v="5657"/>
    <n v="8227"/>
  </r>
  <r>
    <d v="2012-09-16T00:00:00"/>
    <x v="2"/>
    <x v="1"/>
    <x v="8"/>
    <n v="0"/>
    <x v="0"/>
    <x v="0"/>
    <x v="1"/>
    <n v="58"/>
    <n v="563125"/>
    <n v="57"/>
    <n v="901833"/>
    <n v="2166"/>
    <n v="5167"/>
    <n v="7333"/>
  </r>
  <r>
    <d v="2012-09-23T00:00:00"/>
    <x v="3"/>
    <x v="1"/>
    <x v="8"/>
    <n v="0"/>
    <x v="0"/>
    <x v="0"/>
    <x v="1"/>
    <n v="529167"/>
    <n v="518933"/>
    <n v="467083"/>
    <n v="223258"/>
    <n v="2454"/>
    <n v="5453"/>
    <n v="7907"/>
  </r>
  <r>
    <d v="2012-09-30T00:00:00"/>
    <x v="3"/>
    <x v="1"/>
    <x v="8"/>
    <n v="0"/>
    <x v="0"/>
    <x v="0"/>
    <x v="1"/>
    <n v="526667"/>
    <n v="517663"/>
    <n v="583333"/>
    <n v="134958"/>
    <n v="2015"/>
    <n v="4874"/>
    <n v="6889"/>
  </r>
  <r>
    <d v="2012-10-07T00:00:00"/>
    <x v="3"/>
    <x v="1"/>
    <x v="9"/>
    <n v="0"/>
    <x v="0"/>
    <x v="0"/>
    <x v="0"/>
    <n v="415833"/>
    <n v="419813"/>
    <n v="708333"/>
    <n v="141162"/>
    <n v="781"/>
    <n v="2729"/>
    <n v="3510"/>
  </r>
  <r>
    <d v="2012-10-14T00:00:00"/>
    <x v="3"/>
    <x v="1"/>
    <x v="9"/>
    <n v="0"/>
    <x v="0"/>
    <x v="0"/>
    <x v="1"/>
    <n v="521667"/>
    <n v="508204"/>
    <n v="640417"/>
    <n v="278612"/>
    <n v="2080"/>
    <n v="4559"/>
    <n v="6639"/>
  </r>
  <r>
    <d v="2012-10-21T00:00:00"/>
    <x v="3"/>
    <x v="1"/>
    <x v="9"/>
    <n v="0"/>
    <x v="0"/>
    <x v="0"/>
    <x v="1"/>
    <n v="464167"/>
    <n v="456429"/>
    <n v="51"/>
    <n v="166054"/>
    <n v="2132"/>
    <n v="4692"/>
    <n v="6824"/>
  </r>
  <r>
    <d v="2012-10-28T00:00:00"/>
    <x v="3"/>
    <x v="1"/>
    <x v="9"/>
    <n v="0"/>
    <x v="0"/>
    <x v="0"/>
    <x v="0"/>
    <n v="4775"/>
    <n v="467771"/>
    <n v="694583"/>
    <n v="398008"/>
    <n v="998"/>
    <n v="3461"/>
    <n v="4459"/>
  </r>
  <r>
    <d v="2012-11-04T00:00:00"/>
    <x v="3"/>
    <x v="1"/>
    <x v="10"/>
    <n v="0"/>
    <x v="0"/>
    <x v="0"/>
    <x v="1"/>
    <n v="325833"/>
    <n v="329538"/>
    <n v="532917"/>
    <n v="179108"/>
    <n v="1201"/>
    <n v="3906"/>
    <n v="5107"/>
  </r>
  <r>
    <d v="2012-11-11T00:00:00"/>
    <x v="3"/>
    <x v="1"/>
    <x v="10"/>
    <n v="0"/>
    <x v="0"/>
    <x v="0"/>
    <x v="1"/>
    <n v="420833"/>
    <n v="421713"/>
    <n v="659167"/>
    <n v="1275"/>
    <n v="2290"/>
    <n v="4562"/>
    <n v="6852"/>
  </r>
  <r>
    <d v="2012-11-18T00:00:00"/>
    <x v="3"/>
    <x v="1"/>
    <x v="10"/>
    <n v="0"/>
    <x v="0"/>
    <x v="0"/>
    <x v="1"/>
    <n v="3425"/>
    <n v="337746"/>
    <n v="692917"/>
    <n v="227612"/>
    <n v="922"/>
    <n v="3747"/>
    <n v="4669"/>
  </r>
  <r>
    <d v="2012-11-25T00:00:00"/>
    <x v="3"/>
    <x v="1"/>
    <x v="10"/>
    <n v="0"/>
    <x v="0"/>
    <x v="0"/>
    <x v="1"/>
    <n v="245833"/>
    <n v="257583"/>
    <n v="468333"/>
    <n v="1505"/>
    <n v="309"/>
    <n v="2115"/>
    <n v="2424"/>
  </r>
  <r>
    <d v="2012-12-02T00:00:00"/>
    <x v="3"/>
    <x v="1"/>
    <x v="11"/>
    <n v="0"/>
    <x v="0"/>
    <x v="0"/>
    <x v="0"/>
    <n v="3475"/>
    <n v="359208"/>
    <n v="823333"/>
    <n v="124379"/>
    <n v="892"/>
    <n v="3757"/>
    <n v="4649"/>
  </r>
  <r>
    <d v="2012-12-09T00:00:00"/>
    <x v="3"/>
    <x v="1"/>
    <x v="11"/>
    <n v="0"/>
    <x v="0"/>
    <x v="0"/>
    <x v="0"/>
    <n v="384167"/>
    <n v="390146"/>
    <n v="905417"/>
    <n v="157975"/>
    <n v="441"/>
    <n v="2787"/>
    <n v="3228"/>
  </r>
  <r>
    <d v="2012-12-16T00:00:00"/>
    <x v="3"/>
    <x v="1"/>
    <x v="11"/>
    <n v="0"/>
    <x v="0"/>
    <x v="0"/>
    <x v="0"/>
    <n v="3625"/>
    <n v="369938"/>
    <n v="83875"/>
    <n v="100742"/>
    <n v="538"/>
    <n v="3248"/>
    <n v="3786"/>
  </r>
  <r>
    <d v="2012-12-23T00:00:00"/>
    <x v="0"/>
    <x v="1"/>
    <x v="11"/>
    <n v="0"/>
    <x v="0"/>
    <x v="0"/>
    <x v="1"/>
    <n v="245833"/>
    <n v="259471"/>
    <n v="515417"/>
    <n v="133083"/>
    <n v="408"/>
    <n v="1379"/>
    <n v="1787"/>
  </r>
  <r>
    <d v="2012-12-30T00:00:00"/>
    <x v="0"/>
    <x v="1"/>
    <x v="11"/>
    <n v="0"/>
    <x v="0"/>
    <x v="0"/>
    <x v="1"/>
    <n v="255833"/>
    <n v="2317"/>
    <n v="483333"/>
    <n v="350754"/>
    <n v="364"/>
    <n v="1432"/>
    <n v="1796"/>
  </r>
  <r>
    <d v="2011-01-03T00:00:00"/>
    <x v="0"/>
    <x v="0"/>
    <x v="0"/>
    <n v="0"/>
    <x v="1"/>
    <x v="1"/>
    <x v="1"/>
    <n v="196364"/>
    <n v="189405"/>
    <n v="437273"/>
    <n v="248309"/>
    <n v="120"/>
    <n v="1229"/>
    <n v="1349"/>
  </r>
  <r>
    <d v="2011-01-10T00:00:00"/>
    <x v="0"/>
    <x v="0"/>
    <x v="0"/>
    <n v="0"/>
    <x v="1"/>
    <x v="1"/>
    <x v="1"/>
    <n v="150833"/>
    <n v="150888"/>
    <n v="482917"/>
    <n v="223267"/>
    <n v="41"/>
    <n v="1280"/>
    <n v="1321"/>
  </r>
  <r>
    <d v="2011-01-17T00:00:00"/>
    <x v="0"/>
    <x v="0"/>
    <x v="0"/>
    <n v="1"/>
    <x v="1"/>
    <x v="0"/>
    <x v="0"/>
    <n v="175833"/>
    <n v="176771"/>
    <n v="5375"/>
    <n v="194017"/>
    <n v="117"/>
    <n v="883"/>
    <n v="1000"/>
  </r>
  <r>
    <d v="2011-01-24T00:00:00"/>
    <x v="0"/>
    <x v="0"/>
    <x v="0"/>
    <n v="0"/>
    <x v="1"/>
    <x v="1"/>
    <x v="1"/>
    <n v="973913"/>
    <n v="11793"/>
    <n v="491739"/>
    <n v="15833"/>
    <n v="86"/>
    <n v="1330"/>
    <n v="1416"/>
  </r>
  <r>
    <d v="2011-01-31T00:00:00"/>
    <x v="0"/>
    <x v="0"/>
    <x v="0"/>
    <n v="0"/>
    <x v="1"/>
    <x v="1"/>
    <x v="0"/>
    <n v="180833"/>
    <n v="18625"/>
    <n v="60375"/>
    <n v="187192"/>
    <n v="42"/>
    <n v="1459"/>
    <n v="1501"/>
  </r>
  <r>
    <d v="2011-02-07T00:00:00"/>
    <x v="0"/>
    <x v="0"/>
    <x v="1"/>
    <n v="0"/>
    <x v="1"/>
    <x v="1"/>
    <x v="1"/>
    <n v="271667"/>
    <n v="303658"/>
    <n v="738333"/>
    <n v="454083"/>
    <n v="120"/>
    <n v="1592"/>
    <n v="1712"/>
  </r>
  <r>
    <d v="2011-02-14T00:00:00"/>
    <x v="0"/>
    <x v="0"/>
    <x v="1"/>
    <n v="0"/>
    <x v="1"/>
    <x v="1"/>
    <x v="1"/>
    <n v="415"/>
    <n v="39835"/>
    <n v="375833"/>
    <n v="417908"/>
    <n v="208"/>
    <n v="1705"/>
    <n v="1913"/>
  </r>
  <r>
    <d v="2011-02-21T00:00:00"/>
    <x v="0"/>
    <x v="0"/>
    <x v="1"/>
    <n v="1"/>
    <x v="1"/>
    <x v="0"/>
    <x v="0"/>
    <n v="303333"/>
    <n v="284075"/>
    <n v="605"/>
    <n v="307846"/>
    <n v="195"/>
    <n v="912"/>
    <n v="1107"/>
  </r>
  <r>
    <d v="2011-02-28T00:00:00"/>
    <x v="0"/>
    <x v="0"/>
    <x v="1"/>
    <n v="0"/>
    <x v="1"/>
    <x v="1"/>
    <x v="0"/>
    <n v="407273"/>
    <n v="400118"/>
    <n v="876364"/>
    <n v="289686"/>
    <n v="81"/>
    <n v="1365"/>
    <n v="1446"/>
  </r>
  <r>
    <d v="2011-03-07T00:00:00"/>
    <x v="0"/>
    <x v="0"/>
    <x v="2"/>
    <n v="0"/>
    <x v="1"/>
    <x v="1"/>
    <x v="1"/>
    <n v="261739"/>
    <n v="238461"/>
    <n v="551304"/>
    <n v="341352"/>
    <n v="244"/>
    <n v="1628"/>
    <n v="1872"/>
  </r>
  <r>
    <d v="2011-03-14T00:00:00"/>
    <x v="0"/>
    <x v="0"/>
    <x v="2"/>
    <n v="0"/>
    <x v="1"/>
    <x v="1"/>
    <x v="1"/>
    <n v="325217"/>
    <n v="332"/>
    <n v="496957"/>
    <n v="136926"/>
    <n v="359"/>
    <n v="1687"/>
    <n v="2046"/>
  </r>
  <r>
    <d v="2011-03-21T00:00:00"/>
    <x v="1"/>
    <x v="0"/>
    <x v="2"/>
    <n v="0"/>
    <x v="1"/>
    <x v="1"/>
    <x v="0"/>
    <n v="430435"/>
    <n v="409735"/>
    <n v="737391"/>
    <n v="288783"/>
    <n v="401"/>
    <n v="1676"/>
    <n v="2077"/>
  </r>
  <r>
    <d v="2011-03-28T00:00:00"/>
    <x v="1"/>
    <x v="0"/>
    <x v="2"/>
    <n v="0"/>
    <x v="1"/>
    <x v="1"/>
    <x v="1"/>
    <n v="264348"/>
    <n v="257574"/>
    <n v="302174"/>
    <n v="212204"/>
    <n v="222"/>
    <n v="1806"/>
    <n v="2028"/>
  </r>
  <r>
    <d v="2011-04-04T00:00:00"/>
    <x v="1"/>
    <x v="0"/>
    <x v="3"/>
    <n v="0"/>
    <x v="1"/>
    <x v="1"/>
    <x v="1"/>
    <n v="573333"/>
    <n v="542929"/>
    <n v="42625"/>
    <n v="385571"/>
    <n v="734"/>
    <n v="2381"/>
    <n v="3115"/>
  </r>
  <r>
    <d v="2011-04-11T00:00:00"/>
    <x v="1"/>
    <x v="0"/>
    <x v="3"/>
    <n v="0"/>
    <x v="1"/>
    <x v="1"/>
    <x v="0"/>
    <n v="595652"/>
    <n v="565217"/>
    <n v="716956"/>
    <n v="324474"/>
    <n v="855"/>
    <n v="2493"/>
    <n v="3348"/>
  </r>
  <r>
    <d v="2011-04-18T00:00:00"/>
    <x v="1"/>
    <x v="0"/>
    <x v="3"/>
    <n v="0"/>
    <x v="1"/>
    <x v="1"/>
    <x v="1"/>
    <n v="5125"/>
    <n v="503146"/>
    <n v="5425"/>
    <n v="163567"/>
    <n v="669"/>
    <n v="2760"/>
    <n v="3429"/>
  </r>
  <r>
    <d v="2011-04-25T00:00:00"/>
    <x v="1"/>
    <x v="0"/>
    <x v="3"/>
    <n v="0"/>
    <x v="1"/>
    <x v="1"/>
    <x v="1"/>
    <n v="606667"/>
    <n v="5745"/>
    <n v="776667"/>
    <n v="185333"/>
    <n v="773"/>
    <n v="3300"/>
    <n v="4073"/>
  </r>
  <r>
    <d v="2011-05-02T00:00:00"/>
    <x v="1"/>
    <x v="0"/>
    <x v="4"/>
    <n v="0"/>
    <x v="1"/>
    <x v="1"/>
    <x v="0"/>
    <n v="549167"/>
    <n v="532833"/>
    <n v="73"/>
    <n v="183454"/>
    <n v="847"/>
    <n v="3554"/>
    <n v="4401"/>
  </r>
  <r>
    <d v="2011-05-09T00:00:00"/>
    <x v="1"/>
    <x v="0"/>
    <x v="4"/>
    <n v="0"/>
    <x v="1"/>
    <x v="1"/>
    <x v="1"/>
    <n v="5325"/>
    <n v="525246"/>
    <n v="58875"/>
    <n v="176"/>
    <n v="664"/>
    <n v="3698"/>
    <n v="4362"/>
  </r>
  <r>
    <d v="2011-05-16T00:00:00"/>
    <x v="1"/>
    <x v="0"/>
    <x v="4"/>
    <n v="0"/>
    <x v="1"/>
    <x v="1"/>
    <x v="1"/>
    <n v="5775"/>
    <n v="550512"/>
    <n v="787917"/>
    <n v="126871"/>
    <n v="773"/>
    <n v="3185"/>
    <n v="3958"/>
  </r>
  <r>
    <d v="2011-05-23T00:00:00"/>
    <x v="1"/>
    <x v="0"/>
    <x v="4"/>
    <n v="0"/>
    <x v="1"/>
    <x v="1"/>
    <x v="0"/>
    <n v="631667"/>
    <n v="590296"/>
    <n v="81"/>
    <n v="233842"/>
    <n v="836"/>
    <n v="3438"/>
    <n v="4274"/>
  </r>
  <r>
    <d v="2011-05-30T00:00:00"/>
    <x v="1"/>
    <x v="0"/>
    <x v="4"/>
    <n v="1"/>
    <x v="1"/>
    <x v="0"/>
    <x v="1"/>
    <n v="733333"/>
    <n v="671092"/>
    <n v="685"/>
    <n v="131225"/>
    <n v="1549"/>
    <n v="2549"/>
    <n v="4098"/>
  </r>
  <r>
    <d v="2011-06-06T00:00:00"/>
    <x v="1"/>
    <x v="0"/>
    <x v="5"/>
    <n v="0"/>
    <x v="1"/>
    <x v="1"/>
    <x v="1"/>
    <n v="678333"/>
    <n v="621858"/>
    <n v="6"/>
    <n v="121896"/>
    <n v="673"/>
    <n v="3875"/>
    <n v="4548"/>
  </r>
  <r>
    <d v="2011-06-13T00:00:00"/>
    <x v="1"/>
    <x v="0"/>
    <x v="5"/>
    <n v="0"/>
    <x v="1"/>
    <x v="1"/>
    <x v="1"/>
    <n v="635"/>
    <n v="601654"/>
    <n v="494583"/>
    <n v="30535"/>
    <n v="863"/>
    <n v="4157"/>
    <n v="5020"/>
  </r>
  <r>
    <d v="2011-06-20T00:00:00"/>
    <x v="1"/>
    <x v="0"/>
    <x v="5"/>
    <n v="0"/>
    <x v="1"/>
    <x v="1"/>
    <x v="0"/>
    <n v="635"/>
    <n v="595346"/>
    <n v="74625"/>
    <n v="155475"/>
    <n v="699"/>
    <n v="3311"/>
    <n v="4010"/>
  </r>
  <r>
    <d v="2011-06-27T00:00:00"/>
    <x v="2"/>
    <x v="0"/>
    <x v="5"/>
    <n v="0"/>
    <x v="1"/>
    <x v="1"/>
    <x v="0"/>
    <n v="6825"/>
    <n v="637004"/>
    <n v="658333"/>
    <n v="107588"/>
    <n v="854"/>
    <n v="3854"/>
    <n v="4708"/>
  </r>
  <r>
    <d v="2011-07-04T00:00:00"/>
    <x v="2"/>
    <x v="0"/>
    <x v="6"/>
    <n v="1"/>
    <x v="1"/>
    <x v="0"/>
    <x v="0"/>
    <n v="726667"/>
    <n v="665417"/>
    <n v="637917"/>
    <n v="814792"/>
    <n v="3065"/>
    <n v="2978"/>
    <n v="6043"/>
  </r>
  <r>
    <d v="2011-07-11T00:00:00"/>
    <x v="2"/>
    <x v="0"/>
    <x v="6"/>
    <n v="0"/>
    <x v="1"/>
    <x v="1"/>
    <x v="1"/>
    <n v="7625"/>
    <n v="729804"/>
    <n v="635833"/>
    <n v="282337"/>
    <n v="723"/>
    <n v="3363"/>
    <n v="4086"/>
  </r>
  <r>
    <d v="2011-07-18T00:00:00"/>
    <x v="2"/>
    <x v="0"/>
    <x v="6"/>
    <n v="0"/>
    <x v="1"/>
    <x v="1"/>
    <x v="1"/>
    <n v="746667"/>
    <n v="703925"/>
    <n v="65125"/>
    <n v="215804"/>
    <n v="841"/>
    <n v="3617"/>
    <n v="4458"/>
  </r>
  <r>
    <d v="2011-07-25T00:00:00"/>
    <x v="2"/>
    <x v="0"/>
    <x v="6"/>
    <n v="0"/>
    <x v="1"/>
    <x v="1"/>
    <x v="1"/>
    <n v="743333"/>
    <n v="720958"/>
    <n v="757083"/>
    <n v="908083"/>
    <n v="568"/>
    <n v="3272"/>
    <n v="3840"/>
  </r>
  <r>
    <d v="2011-08-01T00:00:00"/>
    <x v="2"/>
    <x v="0"/>
    <x v="7"/>
    <n v="0"/>
    <x v="1"/>
    <x v="1"/>
    <x v="1"/>
    <n v="771667"/>
    <n v="703292"/>
    <n v="550833"/>
    <n v="156717"/>
    <n v="729"/>
    <n v="3537"/>
    <n v="4266"/>
  </r>
  <r>
    <d v="2011-08-08T00:00:00"/>
    <x v="2"/>
    <x v="0"/>
    <x v="7"/>
    <n v="0"/>
    <x v="1"/>
    <x v="1"/>
    <x v="1"/>
    <n v="765"/>
    <n v="703283"/>
    <n v="592083"/>
    <n v="192175"/>
    <n v="846"/>
    <n v="3480"/>
    <n v="4326"/>
  </r>
  <r>
    <d v="2011-08-15T00:00:00"/>
    <x v="2"/>
    <x v="0"/>
    <x v="7"/>
    <n v="0"/>
    <x v="1"/>
    <x v="1"/>
    <x v="1"/>
    <n v="665833"/>
    <n v="616167"/>
    <n v="712083"/>
    <n v="208954"/>
    <n v="775"/>
    <n v="3563"/>
    <n v="4338"/>
  </r>
  <r>
    <d v="2011-08-22T00:00:00"/>
    <x v="2"/>
    <x v="0"/>
    <x v="7"/>
    <n v="0"/>
    <x v="1"/>
    <x v="1"/>
    <x v="1"/>
    <n v="691667"/>
    <n v="638254"/>
    <n v="47"/>
    <n v="27675"/>
    <n v="833"/>
    <n v="3925"/>
    <n v="4758"/>
  </r>
  <r>
    <d v="2011-08-29T00:00:00"/>
    <x v="2"/>
    <x v="0"/>
    <x v="7"/>
    <n v="0"/>
    <x v="1"/>
    <x v="1"/>
    <x v="1"/>
    <n v="636667"/>
    <n v="607958"/>
    <n v="554583"/>
    <n v="159825"/>
    <n v="729"/>
    <n v="3905"/>
    <n v="4634"/>
  </r>
  <r>
    <d v="2011-09-05T00:00:00"/>
    <x v="2"/>
    <x v="0"/>
    <x v="8"/>
    <n v="1"/>
    <x v="1"/>
    <x v="0"/>
    <x v="0"/>
    <n v="673333"/>
    <n v="625646"/>
    <n v="790417"/>
    <n v="212696"/>
    <n v="1236"/>
    <n v="2115"/>
    <n v="3351"/>
  </r>
  <r>
    <d v="2011-09-12T00:00:00"/>
    <x v="2"/>
    <x v="0"/>
    <x v="8"/>
    <n v="0"/>
    <x v="1"/>
    <x v="1"/>
    <x v="1"/>
    <n v="644348"/>
    <n v="60213"/>
    <n v="692174"/>
    <n v="88913"/>
    <n v="690"/>
    <n v="4023"/>
    <n v="4713"/>
  </r>
  <r>
    <d v="2011-09-19T00:00:00"/>
    <x v="2"/>
    <x v="0"/>
    <x v="8"/>
    <n v="0"/>
    <x v="1"/>
    <x v="1"/>
    <x v="0"/>
    <n v="549167"/>
    <n v="529675"/>
    <n v="69"/>
    <n v="151742"/>
    <n v="691"/>
    <n v="3848"/>
    <n v="4539"/>
  </r>
  <r>
    <d v="2011-09-26T00:00:00"/>
    <x v="3"/>
    <x v="0"/>
    <x v="8"/>
    <n v="0"/>
    <x v="1"/>
    <x v="1"/>
    <x v="0"/>
    <n v="649167"/>
    <n v="589042"/>
    <n v="848333"/>
    <n v="1107"/>
    <n v="684"/>
    <n v="3946"/>
    <n v="4630"/>
  </r>
  <r>
    <d v="2011-10-03T00:00:00"/>
    <x v="3"/>
    <x v="0"/>
    <x v="9"/>
    <n v="0"/>
    <x v="1"/>
    <x v="1"/>
    <x v="0"/>
    <n v="384167"/>
    <n v="392046"/>
    <n v="760833"/>
    <n v="833458"/>
    <n v="330"/>
    <n v="3240"/>
    <n v="3570"/>
  </r>
  <r>
    <d v="2011-10-10T00:00:00"/>
    <x v="3"/>
    <x v="0"/>
    <x v="9"/>
    <n v="1"/>
    <x v="1"/>
    <x v="0"/>
    <x v="1"/>
    <n v="570833"/>
    <n v="542925"/>
    <n v="73375"/>
    <n v="423042"/>
    <n v="1514"/>
    <n v="3603"/>
    <n v="5117"/>
  </r>
  <r>
    <d v="2011-10-17T00:00:00"/>
    <x v="3"/>
    <x v="0"/>
    <x v="9"/>
    <n v="0"/>
    <x v="1"/>
    <x v="1"/>
    <x v="1"/>
    <n v="534167"/>
    <n v="510725"/>
    <n v="579583"/>
    <n v="175379"/>
    <n v="713"/>
    <n v="3857"/>
    <n v="4570"/>
  </r>
  <r>
    <d v="2011-10-24T00:00:00"/>
    <x v="3"/>
    <x v="0"/>
    <x v="9"/>
    <n v="0"/>
    <x v="1"/>
    <x v="1"/>
    <x v="1"/>
    <n v="463333"/>
    <n v="457067"/>
    <n v="772083"/>
    <n v="118792"/>
    <n v="699"/>
    <n v="3488"/>
    <n v="4187"/>
  </r>
  <r>
    <d v="2011-10-31T00:00:00"/>
    <x v="3"/>
    <x v="0"/>
    <x v="9"/>
    <n v="0"/>
    <x v="1"/>
    <x v="1"/>
    <x v="1"/>
    <n v="34"/>
    <n v="356063"/>
    <n v="703333"/>
    <n v="10635"/>
    <n v="362"/>
    <n v="3307"/>
    <n v="3669"/>
  </r>
  <r>
    <d v="2011-11-07T00:00:00"/>
    <x v="3"/>
    <x v="0"/>
    <x v="10"/>
    <n v="0"/>
    <x v="1"/>
    <x v="1"/>
    <x v="1"/>
    <n v="395"/>
    <n v="400871"/>
    <n v="75875"/>
    <n v="57225"/>
    <n v="373"/>
    <n v="3662"/>
    <n v="4035"/>
  </r>
  <r>
    <d v="2011-11-14T00:00:00"/>
    <x v="3"/>
    <x v="0"/>
    <x v="10"/>
    <n v="0"/>
    <x v="1"/>
    <x v="1"/>
    <x v="1"/>
    <n v="53"/>
    <n v="524612"/>
    <n v="587083"/>
    <n v="306596"/>
    <n v="595"/>
    <n v="3891"/>
    <n v="4486"/>
  </r>
  <r>
    <d v="2011-11-21T00:00:00"/>
    <x v="3"/>
    <x v="0"/>
    <x v="10"/>
    <n v="0"/>
    <x v="1"/>
    <x v="1"/>
    <x v="2"/>
    <n v="4475"/>
    <n v="445062"/>
    <n v="91"/>
    <n v="138054"/>
    <n v="220"/>
    <n v="2545"/>
    <n v="2765"/>
  </r>
  <r>
    <d v="2011-11-28T00:00:00"/>
    <x v="3"/>
    <x v="0"/>
    <x v="10"/>
    <n v="0"/>
    <x v="1"/>
    <x v="1"/>
    <x v="1"/>
    <n v="503478"/>
    <n v="490122"/>
    <n v="743043"/>
    <n v="142122"/>
    <n v="253"/>
    <n v="3614"/>
    <n v="3867"/>
  </r>
  <r>
    <d v="2011-12-05T00:00:00"/>
    <x v="3"/>
    <x v="0"/>
    <x v="11"/>
    <n v="0"/>
    <x v="1"/>
    <x v="1"/>
    <x v="0"/>
    <n v="385833"/>
    <n v="393925"/>
    <n v="827083"/>
    <n v="622083"/>
    <n v="233"/>
    <n v="3578"/>
    <n v="3811"/>
  </r>
  <r>
    <d v="2011-12-12T00:00:00"/>
    <x v="3"/>
    <x v="0"/>
    <x v="11"/>
    <n v="0"/>
    <x v="1"/>
    <x v="1"/>
    <x v="1"/>
    <n v="238333"/>
    <n v="270196"/>
    <n v="670833"/>
    <n v="6345"/>
    <n v="143"/>
    <n v="3167"/>
    <n v="3310"/>
  </r>
  <r>
    <d v="2011-12-19T00:00:00"/>
    <x v="3"/>
    <x v="0"/>
    <x v="11"/>
    <n v="0"/>
    <x v="1"/>
    <x v="1"/>
    <x v="1"/>
    <n v="276667"/>
    <n v="280933"/>
    <n v="6375"/>
    <n v="172896"/>
    <n v="260"/>
    <n v="3143"/>
    <n v="3403"/>
  </r>
  <r>
    <d v="2011-12-26T00:00:00"/>
    <x v="0"/>
    <x v="0"/>
    <x v="11"/>
    <n v="1"/>
    <x v="1"/>
    <x v="0"/>
    <x v="1"/>
    <n v="321739"/>
    <n v="315535"/>
    <n v="506957"/>
    <n v="239465"/>
    <n v="430"/>
    <n v="887"/>
    <n v="1317"/>
  </r>
  <r>
    <d v="2012-01-02T00:00:00"/>
    <x v="0"/>
    <x v="1"/>
    <x v="0"/>
    <n v="1"/>
    <x v="1"/>
    <x v="0"/>
    <x v="1"/>
    <n v="273043"/>
    <n v="252304"/>
    <n v="381304"/>
    <n v="329665"/>
    <n v="244"/>
    <n v="1707"/>
    <n v="1951"/>
  </r>
  <r>
    <d v="2012-01-09T00:00:00"/>
    <x v="0"/>
    <x v="1"/>
    <x v="0"/>
    <n v="0"/>
    <x v="1"/>
    <x v="1"/>
    <x v="0"/>
    <n v="224167"/>
    <n v="247479"/>
    <n v="701667"/>
    <n v="989"/>
    <n v="106"/>
    <n v="2270"/>
    <n v="2376"/>
  </r>
  <r>
    <d v="2012-01-16T00:00:00"/>
    <x v="0"/>
    <x v="1"/>
    <x v="0"/>
    <n v="1"/>
    <x v="1"/>
    <x v="0"/>
    <x v="1"/>
    <n v="19"/>
    <n v="190663"/>
    <n v="5225"/>
    <n v="231358"/>
    <n v="217"/>
    <n v="2081"/>
    <n v="2298"/>
  </r>
  <r>
    <d v="2012-01-23T00:00:00"/>
    <x v="0"/>
    <x v="1"/>
    <x v="0"/>
    <n v="0"/>
    <x v="1"/>
    <x v="1"/>
    <x v="0"/>
    <n v="218333"/>
    <n v="243058"/>
    <n v="91125"/>
    <n v="110708"/>
    <n v="145"/>
    <n v="2287"/>
    <n v="2432"/>
  </r>
  <r>
    <d v="2012-01-30T00:00:00"/>
    <x v="0"/>
    <x v="1"/>
    <x v="0"/>
    <n v="0"/>
    <x v="1"/>
    <x v="1"/>
    <x v="1"/>
    <n v="269167"/>
    <n v="262625"/>
    <n v="400833"/>
    <n v="215792"/>
    <n v="126"/>
    <n v="3498"/>
    <n v="3624"/>
  </r>
  <r>
    <d v="2012-02-06T00:00:00"/>
    <x v="0"/>
    <x v="1"/>
    <x v="1"/>
    <n v="0"/>
    <x v="1"/>
    <x v="1"/>
    <x v="1"/>
    <n v="282609"/>
    <n v="296426"/>
    <n v="622174"/>
    <n v="1538"/>
    <n v="206"/>
    <n v="3578"/>
    <n v="3784"/>
  </r>
  <r>
    <d v="2012-02-13T00:00:00"/>
    <x v="0"/>
    <x v="1"/>
    <x v="1"/>
    <n v="0"/>
    <x v="1"/>
    <x v="1"/>
    <x v="1"/>
    <n v="2225"/>
    <n v="227913"/>
    <n v="41125"/>
    <n v="167283"/>
    <n v="94"/>
    <n v="3328"/>
    <n v="3422"/>
  </r>
  <r>
    <d v="2012-02-20T00:00:00"/>
    <x v="0"/>
    <x v="1"/>
    <x v="1"/>
    <n v="1"/>
    <x v="1"/>
    <x v="0"/>
    <x v="1"/>
    <n v="28"/>
    <n v="273391"/>
    <n v="507826"/>
    <n v="229083"/>
    <n v="502"/>
    <n v="2627"/>
    <n v="3129"/>
  </r>
  <r>
    <d v="2012-02-27T00:00:00"/>
    <x v="0"/>
    <x v="1"/>
    <x v="1"/>
    <n v="0"/>
    <x v="1"/>
    <x v="1"/>
    <x v="1"/>
    <n v="366667"/>
    <n v="357954"/>
    <n v="490833"/>
    <n v="268033"/>
    <n v="253"/>
    <n v="4069"/>
    <n v="4322"/>
  </r>
  <r>
    <d v="2012-03-05T00:00:00"/>
    <x v="0"/>
    <x v="1"/>
    <x v="2"/>
    <n v="0"/>
    <x v="1"/>
    <x v="1"/>
    <x v="1"/>
    <n v="243333"/>
    <n v="241171"/>
    <n v="50625"/>
    <n v="228858"/>
    <n v="203"/>
    <n v="3130"/>
    <n v="3333"/>
  </r>
  <r>
    <d v="2012-03-12T00:00:00"/>
    <x v="0"/>
    <x v="1"/>
    <x v="2"/>
    <n v="0"/>
    <x v="1"/>
    <x v="1"/>
    <x v="1"/>
    <n v="466667"/>
    <n v="459592"/>
    <n v="489167"/>
    <n v="207713"/>
    <n v="838"/>
    <n v="4460"/>
    <n v="5298"/>
  </r>
  <r>
    <d v="2012-03-19T00:00:00"/>
    <x v="0"/>
    <x v="1"/>
    <x v="2"/>
    <n v="0"/>
    <x v="1"/>
    <x v="1"/>
    <x v="1"/>
    <n v="545"/>
    <n v="532821"/>
    <n v="72875"/>
    <n v="162317"/>
    <n v="982"/>
    <n v="5171"/>
    <n v="6153"/>
  </r>
  <r>
    <d v="2012-03-26T00:00:00"/>
    <x v="1"/>
    <x v="1"/>
    <x v="2"/>
    <n v="0"/>
    <x v="1"/>
    <x v="1"/>
    <x v="1"/>
    <n v="445833"/>
    <n v="43875"/>
    <n v="477917"/>
    <n v="386821"/>
    <n v="795"/>
    <n v="4763"/>
    <n v="5558"/>
  </r>
  <r>
    <d v="2012-04-02T00:00:00"/>
    <x v="1"/>
    <x v="1"/>
    <x v="3"/>
    <n v="0"/>
    <x v="1"/>
    <x v="1"/>
    <x v="1"/>
    <n v="433913"/>
    <n v="427513"/>
    <n v="504348"/>
    <n v="312139"/>
    <n v="1208"/>
    <n v="4728"/>
    <n v="5936"/>
  </r>
  <r>
    <d v="2012-04-09T00:00:00"/>
    <x v="1"/>
    <x v="1"/>
    <x v="3"/>
    <n v="0"/>
    <x v="1"/>
    <x v="1"/>
    <x v="1"/>
    <n v="489167"/>
    <n v="476638"/>
    <n v="3175"/>
    <n v="358196"/>
    <n v="905"/>
    <n v="4680"/>
    <n v="5585"/>
  </r>
  <r>
    <d v="2012-04-16T00:00:00"/>
    <x v="1"/>
    <x v="1"/>
    <x v="3"/>
    <n v="1"/>
    <x v="1"/>
    <x v="0"/>
    <x v="1"/>
    <n v="664167"/>
    <n v="614925"/>
    <n v="561667"/>
    <n v="284829"/>
    <n v="1198"/>
    <n v="5172"/>
    <n v="6370"/>
  </r>
  <r>
    <d v="2012-04-23T00:00:00"/>
    <x v="1"/>
    <x v="1"/>
    <x v="3"/>
    <n v="0"/>
    <x v="1"/>
    <x v="1"/>
    <x v="0"/>
    <n v="321667"/>
    <n v="301125"/>
    <n v="766667"/>
    <n v="303496"/>
    <n v="195"/>
    <n v="3019"/>
    <n v="3214"/>
  </r>
  <r>
    <d v="2012-04-30T00:00:00"/>
    <x v="1"/>
    <x v="1"/>
    <x v="3"/>
    <n v="0"/>
    <x v="1"/>
    <x v="1"/>
    <x v="0"/>
    <n v="464167"/>
    <n v="457696"/>
    <n v="57"/>
    <n v="171638"/>
    <n v="665"/>
    <n v="4907"/>
    <n v="5572"/>
  </r>
  <r>
    <d v="2012-05-07T00:00:00"/>
    <x v="1"/>
    <x v="1"/>
    <x v="4"/>
    <n v="0"/>
    <x v="1"/>
    <x v="1"/>
    <x v="0"/>
    <n v="5375"/>
    <n v="527142"/>
    <n v="664167"/>
    <n v="230721"/>
    <n v="1008"/>
    <n v="5265"/>
    <n v="6273"/>
  </r>
  <r>
    <d v="2012-05-14T00:00:00"/>
    <x v="1"/>
    <x v="1"/>
    <x v="4"/>
    <n v="0"/>
    <x v="1"/>
    <x v="1"/>
    <x v="0"/>
    <n v="573333"/>
    <n v="5499"/>
    <n v="789583"/>
    <n v="212692"/>
    <n v="342"/>
    <n v="2501"/>
    <n v="2843"/>
  </r>
  <r>
    <d v="2012-05-21T00:00:00"/>
    <x v="1"/>
    <x v="1"/>
    <x v="4"/>
    <n v="0"/>
    <x v="1"/>
    <x v="1"/>
    <x v="0"/>
    <n v="598333"/>
    <n v="565667"/>
    <n v="81125"/>
    <n v="233204"/>
    <n v="630"/>
    <n v="3729"/>
    <n v="4359"/>
  </r>
  <r>
    <d v="2012-05-28T00:00:00"/>
    <x v="1"/>
    <x v="1"/>
    <x v="4"/>
    <n v="1"/>
    <x v="1"/>
    <x v="0"/>
    <x v="1"/>
    <n v="7125"/>
    <n v="6793"/>
    <n v="67625"/>
    <n v="196521"/>
    <n v="2557"/>
    <n v="3486"/>
    <n v="6043"/>
  </r>
  <r>
    <d v="2012-06-04T00:00:00"/>
    <x v="1"/>
    <x v="1"/>
    <x v="5"/>
    <n v="0"/>
    <x v="1"/>
    <x v="1"/>
    <x v="1"/>
    <n v="5975"/>
    <n v="578283"/>
    <n v="487083"/>
    <n v="284833"/>
    <n v="1071"/>
    <n v="5927"/>
    <n v="6998"/>
  </r>
  <r>
    <d v="2012-06-11T00:00:00"/>
    <x v="1"/>
    <x v="1"/>
    <x v="5"/>
    <n v="0"/>
    <x v="1"/>
    <x v="1"/>
    <x v="0"/>
    <n v="720833"/>
    <n v="659721"/>
    <n v="587917"/>
    <n v="207713"/>
    <n v="1017"/>
    <n v="5647"/>
    <n v="6664"/>
  </r>
  <r>
    <d v="2012-06-18T00:00:00"/>
    <x v="1"/>
    <x v="1"/>
    <x v="5"/>
    <n v="0"/>
    <x v="1"/>
    <x v="1"/>
    <x v="0"/>
    <n v="568333"/>
    <n v="544842"/>
    <n v="777917"/>
    <n v="174746"/>
    <n v="653"/>
    <n v="4446"/>
    <n v="5099"/>
  </r>
  <r>
    <d v="2012-06-25T00:00:00"/>
    <x v="2"/>
    <x v="1"/>
    <x v="5"/>
    <n v="0"/>
    <x v="1"/>
    <x v="1"/>
    <x v="1"/>
    <n v="715833"/>
    <n v="654042"/>
    <n v="504167"/>
    <n v="300383"/>
    <n v="1139"/>
    <n v="5640"/>
    <n v="6779"/>
  </r>
  <r>
    <d v="2012-07-02T00:00:00"/>
    <x v="2"/>
    <x v="1"/>
    <x v="6"/>
    <n v="0"/>
    <x v="1"/>
    <x v="1"/>
    <x v="1"/>
    <n v="781667"/>
    <n v="702038"/>
    <n v="447083"/>
    <n v="195267"/>
    <n v="904"/>
    <n v="5323"/>
    <n v="6227"/>
  </r>
  <r>
    <d v="2012-07-09T00:00:00"/>
    <x v="2"/>
    <x v="1"/>
    <x v="6"/>
    <n v="0"/>
    <x v="1"/>
    <x v="1"/>
    <x v="0"/>
    <n v="710833"/>
    <n v="654054"/>
    <n v="683333"/>
    <n v="180975"/>
    <n v="998"/>
    <n v="5571"/>
    <n v="6569"/>
  </r>
  <r>
    <d v="2012-07-16T00:00:00"/>
    <x v="2"/>
    <x v="1"/>
    <x v="6"/>
    <n v="0"/>
    <x v="1"/>
    <x v="1"/>
    <x v="1"/>
    <n v="763333"/>
    <n v="724125"/>
    <n v="645"/>
    <n v="164187"/>
    <n v="1088"/>
    <n v="5742"/>
    <n v="6830"/>
  </r>
  <r>
    <d v="2012-07-23T00:00:00"/>
    <x v="2"/>
    <x v="1"/>
    <x v="6"/>
    <n v="0"/>
    <x v="1"/>
    <x v="1"/>
    <x v="1"/>
    <n v="741667"/>
    <n v="690017"/>
    <n v="694167"/>
    <n v="138683"/>
    <n v="1135"/>
    <n v="5831"/>
    <n v="6966"/>
  </r>
  <r>
    <d v="2012-07-30T00:00:00"/>
    <x v="2"/>
    <x v="1"/>
    <x v="6"/>
    <n v="0"/>
    <x v="1"/>
    <x v="1"/>
    <x v="1"/>
    <n v="730833"/>
    <n v="684987"/>
    <n v="66875"/>
    <n v="153617"/>
    <n v="1040"/>
    <n v="6065"/>
    <n v="7105"/>
  </r>
  <r>
    <d v="2012-08-06T00:00:00"/>
    <x v="2"/>
    <x v="1"/>
    <x v="7"/>
    <n v="0"/>
    <x v="1"/>
    <x v="1"/>
    <x v="0"/>
    <n v="7525"/>
    <n v="710246"/>
    <n v="654167"/>
    <n v="129354"/>
    <n v="1233"/>
    <n v="5780"/>
    <n v="7013"/>
  </r>
  <r>
    <d v="2012-08-13T00:00:00"/>
    <x v="2"/>
    <x v="1"/>
    <x v="7"/>
    <n v="0"/>
    <x v="1"/>
    <x v="1"/>
    <x v="1"/>
    <n v="720833"/>
    <n v="662254"/>
    <n v="545417"/>
    <n v="136212"/>
    <n v="1207"/>
    <n v="5676"/>
    <n v="6883"/>
  </r>
  <r>
    <d v="2012-08-20T00:00:00"/>
    <x v="2"/>
    <x v="1"/>
    <x v="7"/>
    <n v="0"/>
    <x v="1"/>
    <x v="1"/>
    <x v="0"/>
    <n v="635833"/>
    <n v="595967"/>
    <n v="734167"/>
    <n v="129979"/>
    <n v="1026"/>
    <n v="5504"/>
    <n v="6530"/>
  </r>
  <r>
    <d v="2012-08-27T00:00:00"/>
    <x v="2"/>
    <x v="1"/>
    <x v="7"/>
    <n v="0"/>
    <x v="1"/>
    <x v="1"/>
    <x v="1"/>
    <n v="703333"/>
    <n v="654688"/>
    <n v="730417"/>
    <n v="128733"/>
    <n v="989"/>
    <n v="5928"/>
    <n v="6917"/>
  </r>
  <r>
    <d v="2012-09-03T00:00:00"/>
    <x v="2"/>
    <x v="1"/>
    <x v="8"/>
    <n v="1"/>
    <x v="1"/>
    <x v="0"/>
    <x v="1"/>
    <n v="7075"/>
    <n v="661629"/>
    <n v="790833"/>
    <n v="151121"/>
    <n v="1965"/>
    <n v="4069"/>
    <n v="6034"/>
  </r>
  <r>
    <d v="2012-09-10T00:00:00"/>
    <x v="2"/>
    <x v="1"/>
    <x v="8"/>
    <n v="0"/>
    <x v="1"/>
    <x v="1"/>
    <x v="1"/>
    <n v="583333"/>
    <n v="565654"/>
    <n v="50375"/>
    <n v="258713"/>
    <n v="1118"/>
    <n v="6407"/>
    <n v="7525"/>
  </r>
  <r>
    <d v="2012-09-17T00:00:00"/>
    <x v="2"/>
    <x v="1"/>
    <x v="8"/>
    <n v="0"/>
    <x v="1"/>
    <x v="1"/>
    <x v="0"/>
    <n v="580833"/>
    <n v="55305"/>
    <n v="734583"/>
    <n v="151742"/>
    <n v="1022"/>
    <n v="5847"/>
    <n v="6869"/>
  </r>
  <r>
    <d v="2012-09-24T00:00:00"/>
    <x v="3"/>
    <x v="1"/>
    <x v="8"/>
    <n v="0"/>
    <x v="1"/>
    <x v="1"/>
    <x v="1"/>
    <n v="514167"/>
    <n v="502513"/>
    <n v="492917"/>
    <n v="142404"/>
    <n v="1001"/>
    <n v="6435"/>
    <n v="7436"/>
  </r>
  <r>
    <d v="2012-10-01T00:00:00"/>
    <x v="3"/>
    <x v="1"/>
    <x v="9"/>
    <n v="0"/>
    <x v="1"/>
    <x v="1"/>
    <x v="0"/>
    <n v="520833"/>
    <n v="512"/>
    <n v="649167"/>
    <n v="908042"/>
    <n v="763"/>
    <n v="6015"/>
    <n v="6778"/>
  </r>
  <r>
    <d v="2012-10-08T00:00:00"/>
    <x v="3"/>
    <x v="1"/>
    <x v="9"/>
    <n v="1"/>
    <x v="1"/>
    <x v="0"/>
    <x v="0"/>
    <n v="383333"/>
    <n v="387608"/>
    <n v="709583"/>
    <n v="189679"/>
    <n v="874"/>
    <n v="4604"/>
    <n v="5478"/>
  </r>
  <r>
    <d v="2012-10-15T00:00:00"/>
    <x v="3"/>
    <x v="1"/>
    <x v="9"/>
    <n v="0"/>
    <x v="1"/>
    <x v="1"/>
    <x v="0"/>
    <n v="561667"/>
    <n v="53915"/>
    <n v="7075"/>
    <n v="296037"/>
    <n v="760"/>
    <n v="5115"/>
    <n v="5875"/>
  </r>
  <r>
    <d v="2012-10-22T00:00:00"/>
    <x v="3"/>
    <x v="1"/>
    <x v="9"/>
    <n v="0"/>
    <x v="1"/>
    <x v="1"/>
    <x v="1"/>
    <n v="4875"/>
    <n v="482942"/>
    <n v="568333"/>
    <n v="814833"/>
    <n v="830"/>
    <n v="6228"/>
    <n v="7058"/>
  </r>
  <r>
    <d v="2012-10-29T00:00:00"/>
    <x v="3"/>
    <x v="1"/>
    <x v="9"/>
    <n v="0"/>
    <x v="1"/>
    <x v="1"/>
    <x v="2"/>
    <n v="44"/>
    <n v="4394"/>
    <n v="88"/>
    <n v="3582"/>
    <n v="2"/>
    <n v="20"/>
    <n v="22"/>
  </r>
  <r>
    <d v="2012-11-05T00:00:00"/>
    <x v="3"/>
    <x v="1"/>
    <x v="10"/>
    <n v="0"/>
    <x v="1"/>
    <x v="1"/>
    <x v="1"/>
    <n v="319167"/>
    <n v="308075"/>
    <n v="494167"/>
    <n v="236325"/>
    <n v="378"/>
    <n v="4881"/>
    <n v="5259"/>
  </r>
  <r>
    <d v="2012-11-12T00:00:00"/>
    <x v="3"/>
    <x v="1"/>
    <x v="10"/>
    <n v="1"/>
    <x v="1"/>
    <x v="0"/>
    <x v="1"/>
    <n v="485"/>
    <n v="475383"/>
    <n v="741667"/>
    <n v="173517"/>
    <n v="1097"/>
    <n v="5172"/>
    <n v="6269"/>
  </r>
  <r>
    <d v="2012-11-19T00:00:00"/>
    <x v="3"/>
    <x v="1"/>
    <x v="10"/>
    <n v="0"/>
    <x v="1"/>
    <x v="1"/>
    <x v="0"/>
    <n v="380833"/>
    <n v="375621"/>
    <n v="623333"/>
    <n v="235067"/>
    <n v="449"/>
    <n v="5050"/>
    <n v="5499"/>
  </r>
  <r>
    <d v="2012-11-26T00:00:00"/>
    <x v="3"/>
    <x v="1"/>
    <x v="10"/>
    <n v="0"/>
    <x v="1"/>
    <x v="1"/>
    <x v="1"/>
    <n v="313333"/>
    <n v="339004"/>
    <n v="535417"/>
    <n v="4665"/>
    <n v="337"/>
    <n v="4750"/>
    <n v="5087"/>
  </r>
  <r>
    <d v="2012-12-03T00:00:00"/>
    <x v="3"/>
    <x v="1"/>
    <x v="11"/>
    <n v="0"/>
    <x v="1"/>
    <x v="1"/>
    <x v="1"/>
    <n v="4525"/>
    <n v="455796"/>
    <n v="7675"/>
    <n v="827208"/>
    <n v="555"/>
    <n v="5679"/>
    <n v="6234"/>
  </r>
  <r>
    <d v="2012-12-10T00:00:00"/>
    <x v="3"/>
    <x v="1"/>
    <x v="11"/>
    <n v="0"/>
    <x v="1"/>
    <x v="1"/>
    <x v="0"/>
    <n v="435833"/>
    <n v="435575"/>
    <n v="925"/>
    <n v="190308"/>
    <n v="329"/>
    <n v="4841"/>
    <n v="5170"/>
  </r>
  <r>
    <d v="2012-12-17T00:00:00"/>
    <x v="3"/>
    <x v="1"/>
    <x v="11"/>
    <n v="0"/>
    <x v="1"/>
    <x v="1"/>
    <x v="0"/>
    <n v="393333"/>
    <n v="4015"/>
    <n v="907083"/>
    <n v="982583"/>
    <n v="212"/>
    <n v="4373"/>
    <n v="4585"/>
  </r>
  <r>
    <d v="2012-12-24T00:00:00"/>
    <x v="0"/>
    <x v="1"/>
    <x v="11"/>
    <n v="0"/>
    <x v="1"/>
    <x v="1"/>
    <x v="0"/>
    <n v="231304"/>
    <n v="2589"/>
    <n v="791304"/>
    <n v="772304"/>
    <n v="174"/>
    <n v="746"/>
    <n v="920"/>
  </r>
  <r>
    <d v="2012-12-31T00:00:00"/>
    <x v="0"/>
    <x v="1"/>
    <x v="11"/>
    <n v="0"/>
    <x v="1"/>
    <x v="1"/>
    <x v="0"/>
    <n v="215833"/>
    <n v="223487"/>
    <n v="5775"/>
    <n v="154846"/>
    <n v="439"/>
    <n v="2290"/>
    <n v="2729"/>
  </r>
  <r>
    <d v="2011-01-04T00:00:00"/>
    <x v="0"/>
    <x v="0"/>
    <x v="0"/>
    <n v="0"/>
    <x v="2"/>
    <x v="1"/>
    <x v="1"/>
    <n v="2"/>
    <n v="212122"/>
    <n v="590435"/>
    <n v="160296"/>
    <n v="108"/>
    <n v="1454"/>
    <n v="1562"/>
  </r>
  <r>
    <d v="2011-01-11T00:00:00"/>
    <x v="0"/>
    <x v="0"/>
    <x v="0"/>
    <n v="0"/>
    <x v="2"/>
    <x v="1"/>
    <x v="0"/>
    <n v="169091"/>
    <n v="191464"/>
    <n v="686364"/>
    <n v="122132"/>
    <n v="43"/>
    <n v="1220"/>
    <n v="1263"/>
  </r>
  <r>
    <d v="2011-01-18T00:00:00"/>
    <x v="0"/>
    <x v="0"/>
    <x v="0"/>
    <n v="0"/>
    <x v="2"/>
    <x v="1"/>
    <x v="0"/>
    <n v="216667"/>
    <n v="232333"/>
    <n v="861667"/>
    <n v="146775"/>
    <n v="9"/>
    <n v="674"/>
    <n v="683"/>
  </r>
  <r>
    <d v="2011-01-25T00:00:00"/>
    <x v="0"/>
    <x v="0"/>
    <x v="0"/>
    <n v="0"/>
    <x v="2"/>
    <x v="1"/>
    <x v="0"/>
    <n v="223478"/>
    <n v="234526"/>
    <n v="616957"/>
    <n v="129796"/>
    <n v="186"/>
    <n v="1799"/>
    <n v="1985"/>
  </r>
  <r>
    <d v="2011-02-01T00:00:00"/>
    <x v="0"/>
    <x v="0"/>
    <x v="1"/>
    <n v="0"/>
    <x v="2"/>
    <x v="1"/>
    <x v="0"/>
    <n v="192174"/>
    <n v="23453"/>
    <n v="829565"/>
    <n v="53213"/>
    <n v="47"/>
    <n v="1313"/>
    <n v="1360"/>
  </r>
  <r>
    <d v="2011-02-08T00:00:00"/>
    <x v="0"/>
    <x v="0"/>
    <x v="1"/>
    <n v="0"/>
    <x v="2"/>
    <x v="1"/>
    <x v="1"/>
    <n v="220833"/>
    <n v="198246"/>
    <n v="537917"/>
    <n v="36195"/>
    <n v="64"/>
    <n v="1466"/>
    <n v="1530"/>
  </r>
  <r>
    <d v="2011-02-15T00:00:00"/>
    <x v="0"/>
    <x v="0"/>
    <x v="1"/>
    <n v="0"/>
    <x v="2"/>
    <x v="1"/>
    <x v="1"/>
    <n v="266087"/>
    <n v="254274"/>
    <n v="314348"/>
    <n v="291374"/>
    <n v="140"/>
    <n v="1675"/>
    <n v="1815"/>
  </r>
  <r>
    <d v="2011-02-22T00:00:00"/>
    <x v="0"/>
    <x v="0"/>
    <x v="1"/>
    <n v="0"/>
    <x v="2"/>
    <x v="1"/>
    <x v="1"/>
    <n v="182222"/>
    <n v="186033"/>
    <n v="577778"/>
    <n v="195683"/>
    <n v="74"/>
    <n v="1376"/>
    <n v="1450"/>
  </r>
  <r>
    <d v="2011-03-01T00:00:00"/>
    <x v="0"/>
    <x v="0"/>
    <x v="2"/>
    <n v="0"/>
    <x v="2"/>
    <x v="1"/>
    <x v="1"/>
    <n v="266667"/>
    <n v="263879"/>
    <n v="535"/>
    <n v="216425"/>
    <n v="137"/>
    <n v="1714"/>
    <n v="1851"/>
  </r>
  <r>
    <d v="2011-03-08T00:00:00"/>
    <x v="0"/>
    <x v="0"/>
    <x v="2"/>
    <n v="0"/>
    <x v="2"/>
    <x v="1"/>
    <x v="1"/>
    <n v="2925"/>
    <n v="3024"/>
    <n v="420833"/>
    <n v="12065"/>
    <n v="316"/>
    <n v="1817"/>
    <n v="2133"/>
  </r>
  <r>
    <d v="2011-03-15T00:00:00"/>
    <x v="0"/>
    <x v="0"/>
    <x v="2"/>
    <n v="0"/>
    <x v="2"/>
    <x v="1"/>
    <x v="0"/>
    <n v="317391"/>
    <n v="318178"/>
    <n v="655652"/>
    <n v="184309"/>
    <n v="289"/>
    <n v="1767"/>
    <n v="2056"/>
  </r>
  <r>
    <d v="2011-03-22T00:00:00"/>
    <x v="1"/>
    <x v="0"/>
    <x v="2"/>
    <n v="0"/>
    <x v="2"/>
    <x v="1"/>
    <x v="1"/>
    <n v="441667"/>
    <n v="440642"/>
    <n v="624583"/>
    <n v="22575"/>
    <n v="460"/>
    <n v="2243"/>
    <n v="2703"/>
  </r>
  <r>
    <d v="2011-03-29T00:00:00"/>
    <x v="1"/>
    <x v="0"/>
    <x v="2"/>
    <n v="0"/>
    <x v="2"/>
    <x v="1"/>
    <x v="1"/>
    <n v="3025"/>
    <n v="292908"/>
    <n v="314167"/>
    <n v="226996"/>
    <n v="317"/>
    <n v="2108"/>
    <n v="2425"/>
  </r>
  <r>
    <d v="2011-04-05T00:00:00"/>
    <x v="1"/>
    <x v="0"/>
    <x v="3"/>
    <n v="0"/>
    <x v="2"/>
    <x v="1"/>
    <x v="0"/>
    <n v="414167"/>
    <n v="39835"/>
    <n v="642083"/>
    <n v="388067"/>
    <n v="167"/>
    <n v="1628"/>
    <n v="1795"/>
  </r>
  <r>
    <d v="2011-04-12T00:00:00"/>
    <x v="1"/>
    <x v="0"/>
    <x v="3"/>
    <n v="0"/>
    <x v="2"/>
    <x v="1"/>
    <x v="0"/>
    <n v="5025"/>
    <n v="493054"/>
    <n v="739167"/>
    <n v="274879"/>
    <n v="257"/>
    <n v="1777"/>
    <n v="2034"/>
  </r>
  <r>
    <d v="2011-04-19T00:00:00"/>
    <x v="1"/>
    <x v="0"/>
    <x v="3"/>
    <n v="0"/>
    <x v="2"/>
    <x v="1"/>
    <x v="0"/>
    <n v="505833"/>
    <n v="489258"/>
    <n v="665833"/>
    <n v="157971"/>
    <n v="409"/>
    <n v="2795"/>
    <n v="3204"/>
  </r>
  <r>
    <d v="2011-04-26T00:00:00"/>
    <x v="1"/>
    <x v="0"/>
    <x v="3"/>
    <n v="0"/>
    <x v="2"/>
    <x v="1"/>
    <x v="1"/>
    <n v="631667"/>
    <n v="594083"/>
    <n v="729167"/>
    <n v="3265"/>
    <n v="678"/>
    <n v="3722"/>
    <n v="4400"/>
  </r>
  <r>
    <d v="2011-05-03T00:00:00"/>
    <x v="1"/>
    <x v="0"/>
    <x v="4"/>
    <n v="0"/>
    <x v="2"/>
    <x v="1"/>
    <x v="0"/>
    <n v="616667"/>
    <n v="582079"/>
    <n v="697083"/>
    <n v="342667"/>
    <n v="603"/>
    <n v="3848"/>
    <n v="4451"/>
  </r>
  <r>
    <d v="2011-05-10T00:00:00"/>
    <x v="1"/>
    <x v="0"/>
    <x v="4"/>
    <n v="0"/>
    <x v="2"/>
    <x v="1"/>
    <x v="1"/>
    <n v="5325"/>
    <n v="522721"/>
    <n v="489167"/>
    <n v="115671"/>
    <n v="694"/>
    <n v="4109"/>
    <n v="4803"/>
  </r>
  <r>
    <d v="2011-05-17T00:00:00"/>
    <x v="1"/>
    <x v="0"/>
    <x v="4"/>
    <n v="0"/>
    <x v="2"/>
    <x v="1"/>
    <x v="0"/>
    <n v="561667"/>
    <n v="538529"/>
    <n v="837917"/>
    <n v="277354"/>
    <n v="678"/>
    <n v="3445"/>
    <n v="4123"/>
  </r>
  <r>
    <d v="2011-05-24T00:00:00"/>
    <x v="1"/>
    <x v="0"/>
    <x v="4"/>
    <n v="0"/>
    <x v="2"/>
    <x v="1"/>
    <x v="0"/>
    <n v="66"/>
    <n v="604813"/>
    <n v="740833"/>
    <n v="207092"/>
    <n v="659"/>
    <n v="3833"/>
    <n v="4492"/>
  </r>
  <r>
    <d v="2011-05-31T00:00:00"/>
    <x v="1"/>
    <x v="0"/>
    <x v="4"/>
    <n v="0"/>
    <x v="2"/>
    <x v="1"/>
    <x v="1"/>
    <n v="775"/>
    <n v="725383"/>
    <n v="636667"/>
    <n v="111329"/>
    <n v="673"/>
    <n v="3309"/>
    <n v="3982"/>
  </r>
  <r>
    <d v="2011-06-07T00:00:00"/>
    <x v="1"/>
    <x v="0"/>
    <x v="5"/>
    <n v="0"/>
    <x v="2"/>
    <x v="1"/>
    <x v="1"/>
    <n v="7075"/>
    <n v="65595"/>
    <n v="597917"/>
    <n v="187808"/>
    <n v="763"/>
    <n v="4070"/>
    <n v="4833"/>
  </r>
  <r>
    <d v="2011-06-14T00:00:00"/>
    <x v="1"/>
    <x v="0"/>
    <x v="5"/>
    <n v="0"/>
    <x v="2"/>
    <x v="1"/>
    <x v="1"/>
    <n v="604167"/>
    <n v="591546"/>
    <n v="507083"/>
    <n v="269283"/>
    <n v="727"/>
    <n v="4164"/>
    <n v="4891"/>
  </r>
  <r>
    <d v="2011-06-21T00:00:00"/>
    <x v="2"/>
    <x v="0"/>
    <x v="5"/>
    <n v="0"/>
    <x v="2"/>
    <x v="1"/>
    <x v="0"/>
    <n v="680833"/>
    <n v="637646"/>
    <n v="770417"/>
    <n v="171025"/>
    <n v="774"/>
    <n v="4061"/>
    <n v="4835"/>
  </r>
  <r>
    <d v="2011-06-28T00:00:00"/>
    <x v="2"/>
    <x v="0"/>
    <x v="5"/>
    <n v="0"/>
    <x v="2"/>
    <x v="1"/>
    <x v="1"/>
    <n v="744167"/>
    <n v="692558"/>
    <n v="634167"/>
    <n v="144283"/>
    <n v="732"/>
    <n v="3916"/>
    <n v="4648"/>
  </r>
  <r>
    <d v="2011-07-05T00:00:00"/>
    <x v="2"/>
    <x v="0"/>
    <x v="6"/>
    <n v="0"/>
    <x v="2"/>
    <x v="1"/>
    <x v="1"/>
    <n v="746667"/>
    <n v="696338"/>
    <n v="590417"/>
    <n v="126258"/>
    <n v="1031"/>
    <n v="3634"/>
    <n v="4665"/>
  </r>
  <r>
    <d v="2011-07-12T00:00:00"/>
    <x v="2"/>
    <x v="0"/>
    <x v="6"/>
    <n v="0"/>
    <x v="2"/>
    <x v="1"/>
    <x v="1"/>
    <n v="794167"/>
    <n v="739275"/>
    <n v="559167"/>
    <n v="200254"/>
    <n v="662"/>
    <n v="3596"/>
    <n v="4258"/>
  </r>
  <r>
    <d v="2011-07-19T00:00:00"/>
    <x v="2"/>
    <x v="0"/>
    <x v="6"/>
    <n v="0"/>
    <x v="2"/>
    <x v="1"/>
    <x v="1"/>
    <n v="776667"/>
    <n v="747479"/>
    <n v="650417"/>
    <n v="1306"/>
    <n v="752"/>
    <n v="3789"/>
    <n v="4541"/>
  </r>
  <r>
    <d v="2011-07-26T00:00:00"/>
    <x v="2"/>
    <x v="0"/>
    <x v="6"/>
    <n v="0"/>
    <x v="2"/>
    <x v="1"/>
    <x v="1"/>
    <n v="771667"/>
    <n v="696979"/>
    <n v="540833"/>
    <n v="200258"/>
    <n v="750"/>
    <n v="3840"/>
    <n v="4590"/>
  </r>
  <r>
    <d v="2011-08-02T00:00:00"/>
    <x v="2"/>
    <x v="0"/>
    <x v="7"/>
    <n v="0"/>
    <x v="2"/>
    <x v="1"/>
    <x v="1"/>
    <n v="783333"/>
    <n v="707071"/>
    <n v="49125"/>
    <n v="20585"/>
    <n v="801"/>
    <n v="4044"/>
    <n v="4845"/>
  </r>
  <r>
    <d v="2011-08-09T00:00:00"/>
    <x v="2"/>
    <x v="0"/>
    <x v="7"/>
    <n v="0"/>
    <x v="2"/>
    <x v="1"/>
    <x v="1"/>
    <n v="775"/>
    <n v="724121"/>
    <n v="570417"/>
    <n v="151121"/>
    <n v="907"/>
    <n v="3695"/>
    <n v="4602"/>
  </r>
  <r>
    <d v="2011-08-16T00:00:00"/>
    <x v="2"/>
    <x v="0"/>
    <x v="7"/>
    <n v="0"/>
    <x v="2"/>
    <x v="1"/>
    <x v="1"/>
    <n v="700833"/>
    <n v="645837"/>
    <n v="578333"/>
    <n v="236329"/>
    <n v="721"/>
    <n v="4004"/>
    <n v="4725"/>
  </r>
  <r>
    <d v="2011-08-23T00:00:00"/>
    <x v="2"/>
    <x v="0"/>
    <x v="7"/>
    <n v="0"/>
    <x v="2"/>
    <x v="1"/>
    <x v="1"/>
    <n v="640833"/>
    <n v="606067"/>
    <n v="455417"/>
    <n v="146763"/>
    <n v="1281"/>
    <n v="4614"/>
    <n v="5895"/>
  </r>
  <r>
    <d v="2011-08-30T00:00:00"/>
    <x v="2"/>
    <x v="0"/>
    <x v="7"/>
    <n v="0"/>
    <x v="2"/>
    <x v="1"/>
    <x v="1"/>
    <n v="639167"/>
    <n v="594704"/>
    <n v="548333"/>
    <n v="125008"/>
    <n v="775"/>
    <n v="4429"/>
    <n v="5204"/>
  </r>
  <r>
    <d v="2011-09-06T00:00:00"/>
    <x v="2"/>
    <x v="0"/>
    <x v="8"/>
    <n v="0"/>
    <x v="2"/>
    <x v="1"/>
    <x v="2"/>
    <n v="54"/>
    <n v="5152"/>
    <n v="886957"/>
    <n v="343943"/>
    <n v="204"/>
    <n v="2506"/>
    <n v="2710"/>
  </r>
  <r>
    <d v="2011-09-13T00:00:00"/>
    <x v="2"/>
    <x v="0"/>
    <x v="8"/>
    <n v="0"/>
    <x v="2"/>
    <x v="1"/>
    <x v="1"/>
    <n v="650833"/>
    <n v="603554"/>
    <n v="7125"/>
    <n v="141804"/>
    <n v="701"/>
    <n v="4062"/>
    <n v="4763"/>
  </r>
  <r>
    <d v="2011-09-20T00:00:00"/>
    <x v="2"/>
    <x v="0"/>
    <x v="8"/>
    <n v="0"/>
    <x v="2"/>
    <x v="1"/>
    <x v="0"/>
    <n v="561667"/>
    <n v="532217"/>
    <n v="88125"/>
    <n v="134954"/>
    <n v="438"/>
    <n v="3203"/>
    <n v="3641"/>
  </r>
  <r>
    <d v="2011-09-27T00:00:00"/>
    <x v="3"/>
    <x v="0"/>
    <x v="8"/>
    <n v="0"/>
    <x v="2"/>
    <x v="1"/>
    <x v="0"/>
    <n v="636667"/>
    <n v="574525"/>
    <n v="885417"/>
    <n v="118171"/>
    <n v="477"/>
    <n v="3643"/>
    <n v="4120"/>
  </r>
  <r>
    <d v="2011-10-04T00:00:00"/>
    <x v="3"/>
    <x v="0"/>
    <x v="9"/>
    <n v="0"/>
    <x v="2"/>
    <x v="1"/>
    <x v="1"/>
    <n v="484167"/>
    <n v="472858"/>
    <n v="71"/>
    <n v="205854"/>
    <n v="486"/>
    <n v="3970"/>
    <n v="4456"/>
  </r>
  <r>
    <d v="2011-10-11T00:00:00"/>
    <x v="3"/>
    <x v="0"/>
    <x v="9"/>
    <n v="0"/>
    <x v="2"/>
    <x v="1"/>
    <x v="0"/>
    <n v="566667"/>
    <n v="546096"/>
    <n v="80875"/>
    <n v="143042"/>
    <n v="667"/>
    <n v="3896"/>
    <n v="4563"/>
  </r>
  <r>
    <d v="2011-10-18T00:00:00"/>
    <x v="3"/>
    <x v="0"/>
    <x v="9"/>
    <n v="0"/>
    <x v="2"/>
    <x v="1"/>
    <x v="0"/>
    <n v="5325"/>
    <n v="522721"/>
    <n v="701667"/>
    <n v="110087"/>
    <n v="637"/>
    <n v="4111"/>
    <n v="4748"/>
  </r>
  <r>
    <d v="2011-10-25T00:00:00"/>
    <x v="3"/>
    <x v="0"/>
    <x v="9"/>
    <n v="0"/>
    <x v="2"/>
    <x v="1"/>
    <x v="1"/>
    <n v="471667"/>
    <n v="463375"/>
    <n v="622917"/>
    <n v="166658"/>
    <n v="695"/>
    <n v="3992"/>
    <n v="4687"/>
  </r>
  <r>
    <d v="2011-11-01T00:00:00"/>
    <x v="3"/>
    <x v="0"/>
    <x v="10"/>
    <n v="0"/>
    <x v="2"/>
    <x v="1"/>
    <x v="1"/>
    <n v="400833"/>
    <n v="397088"/>
    <n v="68375"/>
    <n v="135571"/>
    <n v="410"/>
    <n v="3658"/>
    <n v="4068"/>
  </r>
  <r>
    <d v="2011-11-08T00:00:00"/>
    <x v="3"/>
    <x v="0"/>
    <x v="10"/>
    <n v="0"/>
    <x v="2"/>
    <x v="1"/>
    <x v="1"/>
    <n v="408333"/>
    <n v="412246"/>
    <n v="721667"/>
    <n v="690375"/>
    <n v="376"/>
    <n v="3829"/>
    <n v="4205"/>
  </r>
  <r>
    <d v="2011-11-15T00:00:00"/>
    <x v="3"/>
    <x v="0"/>
    <x v="10"/>
    <n v="0"/>
    <x v="2"/>
    <x v="1"/>
    <x v="0"/>
    <n v="53"/>
    <n v="507579"/>
    <n v="68875"/>
    <n v="199633"/>
    <n v="449"/>
    <n v="3746"/>
    <n v="4195"/>
  </r>
  <r>
    <d v="2011-11-22T00:00:00"/>
    <x v="3"/>
    <x v="0"/>
    <x v="10"/>
    <n v="0"/>
    <x v="2"/>
    <x v="1"/>
    <x v="2"/>
    <n v="416667"/>
    <n v="421696"/>
    <n v="9625"/>
    <n v="118792"/>
    <n v="69"/>
    <n v="1538"/>
    <n v="1607"/>
  </r>
  <r>
    <d v="2011-11-29T00:00:00"/>
    <x v="3"/>
    <x v="0"/>
    <x v="10"/>
    <n v="0"/>
    <x v="2"/>
    <x v="1"/>
    <x v="0"/>
    <n v="458333"/>
    <n v="451375"/>
    <n v="830833"/>
    <n v="258092"/>
    <n v="96"/>
    <n v="2818"/>
    <n v="2914"/>
  </r>
  <r>
    <d v="2011-12-06T00:00:00"/>
    <x v="3"/>
    <x v="0"/>
    <x v="11"/>
    <n v="0"/>
    <x v="2"/>
    <x v="1"/>
    <x v="2"/>
    <n v="4625"/>
    <n v="4564"/>
    <n v="949583"/>
    <n v="232583"/>
    <n v="126"/>
    <n v="2468"/>
    <n v="2594"/>
  </r>
  <r>
    <d v="2011-12-13T00:00:00"/>
    <x v="3"/>
    <x v="0"/>
    <x v="11"/>
    <n v="0"/>
    <x v="2"/>
    <x v="1"/>
    <x v="1"/>
    <n v="2825"/>
    <n v="301138"/>
    <n v="59"/>
    <n v="14055"/>
    <n v="155"/>
    <n v="3368"/>
    <n v="3523"/>
  </r>
  <r>
    <d v="2011-12-20T00:00:00"/>
    <x v="3"/>
    <x v="0"/>
    <x v="11"/>
    <n v="0"/>
    <x v="2"/>
    <x v="1"/>
    <x v="0"/>
    <n v="385833"/>
    <n v="396454"/>
    <n v="595417"/>
    <n v="615708"/>
    <n v="216"/>
    <n v="3534"/>
    <n v="3750"/>
  </r>
  <r>
    <d v="2011-12-27T00:00:00"/>
    <x v="0"/>
    <x v="0"/>
    <x v="11"/>
    <n v="0"/>
    <x v="2"/>
    <x v="1"/>
    <x v="0"/>
    <n v="325"/>
    <n v="327633"/>
    <n v="7625"/>
    <n v="18845"/>
    <n v="103"/>
    <n v="1059"/>
    <n v="1162"/>
  </r>
  <r>
    <d v="2012-01-03T00:00:00"/>
    <x v="0"/>
    <x v="1"/>
    <x v="0"/>
    <n v="0"/>
    <x v="2"/>
    <x v="1"/>
    <x v="1"/>
    <n v="15"/>
    <n v="126275"/>
    <n v="44125"/>
    <n v="365671"/>
    <n v="89"/>
    <n v="2147"/>
    <n v="2236"/>
  </r>
  <r>
    <d v="2012-01-10T00:00:00"/>
    <x v="0"/>
    <x v="1"/>
    <x v="0"/>
    <n v="0"/>
    <x v="2"/>
    <x v="1"/>
    <x v="1"/>
    <n v="308696"/>
    <n v="318826"/>
    <n v="646522"/>
    <n v="187552"/>
    <n v="173"/>
    <n v="3425"/>
    <n v="3598"/>
  </r>
  <r>
    <d v="2012-01-17T00:00:00"/>
    <x v="0"/>
    <x v="1"/>
    <x v="0"/>
    <n v="0"/>
    <x v="2"/>
    <x v="1"/>
    <x v="0"/>
    <n v="373043"/>
    <n v="364278"/>
    <n v="716087"/>
    <n v="34913"/>
    <n v="127"/>
    <n v="2808"/>
    <n v="2935"/>
  </r>
  <r>
    <d v="2012-01-24T00:00:00"/>
    <x v="0"/>
    <x v="1"/>
    <x v="0"/>
    <n v="0"/>
    <x v="2"/>
    <x v="1"/>
    <x v="1"/>
    <n v="3425"/>
    <n v="349108"/>
    <n v="835833"/>
    <n v="123767"/>
    <n v="439"/>
    <n v="3900"/>
    <n v="4339"/>
  </r>
  <r>
    <d v="2012-01-31T00:00:00"/>
    <x v="0"/>
    <x v="1"/>
    <x v="0"/>
    <n v="0"/>
    <x v="2"/>
    <x v="1"/>
    <x v="1"/>
    <n v="39"/>
    <n v="381317"/>
    <n v="416667"/>
    <n v="261817"/>
    <n v="324"/>
    <n v="4185"/>
    <n v="4509"/>
  </r>
  <r>
    <d v="2012-02-07T00:00:00"/>
    <x v="0"/>
    <x v="1"/>
    <x v="1"/>
    <n v="0"/>
    <x v="2"/>
    <x v="1"/>
    <x v="1"/>
    <n v="354167"/>
    <n v="361104"/>
    <n v="49625"/>
    <n v="147379"/>
    <n v="199"/>
    <n v="4176"/>
    <n v="4375"/>
  </r>
  <r>
    <d v="2012-02-14T00:00:00"/>
    <x v="0"/>
    <x v="1"/>
    <x v="1"/>
    <n v="0"/>
    <x v="2"/>
    <x v="1"/>
    <x v="0"/>
    <n v="319167"/>
    <n v="333946"/>
    <n v="50875"/>
    <n v="141179"/>
    <n v="135"/>
    <n v="3787"/>
    <n v="3922"/>
  </r>
  <r>
    <d v="2012-02-21T00:00:00"/>
    <x v="0"/>
    <x v="1"/>
    <x v="1"/>
    <n v="0"/>
    <x v="2"/>
    <x v="1"/>
    <x v="1"/>
    <n v="287826"/>
    <n v="295113"/>
    <n v="594348"/>
    <n v="205717"/>
    <n v="163"/>
    <n v="3614"/>
    <n v="3777"/>
  </r>
  <r>
    <d v="2012-02-28T00:00:00"/>
    <x v="0"/>
    <x v="1"/>
    <x v="1"/>
    <n v="0"/>
    <x v="2"/>
    <x v="1"/>
    <x v="1"/>
    <n v="359167"/>
    <n v="353525"/>
    <n v="395833"/>
    <n v="193417"/>
    <n v="229"/>
    <n v="4134"/>
    <n v="4363"/>
  </r>
  <r>
    <d v="2012-03-06T00:00:00"/>
    <x v="0"/>
    <x v="1"/>
    <x v="2"/>
    <n v="0"/>
    <x v="2"/>
    <x v="1"/>
    <x v="1"/>
    <n v="258333"/>
    <n v="255042"/>
    <n v="456667"/>
    <n v="200875"/>
    <n v="221"/>
    <n v="3735"/>
    <n v="3956"/>
  </r>
  <r>
    <d v="2012-03-13T00:00:00"/>
    <x v="0"/>
    <x v="1"/>
    <x v="2"/>
    <n v="0"/>
    <x v="2"/>
    <x v="1"/>
    <x v="1"/>
    <n v="565"/>
    <n v="542929"/>
    <n v="6175"/>
    <n v="23695"/>
    <n v="762"/>
    <n v="5085"/>
    <n v="5847"/>
  </r>
  <r>
    <d v="2012-03-20T00:00:00"/>
    <x v="0"/>
    <x v="1"/>
    <x v="2"/>
    <n v="0"/>
    <x v="2"/>
    <x v="1"/>
    <x v="1"/>
    <n v="560833"/>
    <n v="538533"/>
    <n v="807917"/>
    <n v="121271"/>
    <n v="1051"/>
    <n v="5042"/>
    <n v="6093"/>
  </r>
  <r>
    <d v="2012-03-27T00:00:00"/>
    <x v="1"/>
    <x v="1"/>
    <x v="2"/>
    <n v="0"/>
    <x v="2"/>
    <x v="1"/>
    <x v="1"/>
    <n v="323333"/>
    <n v="315654"/>
    <n v="29"/>
    <n v="187192"/>
    <n v="531"/>
    <n v="4571"/>
    <n v="5102"/>
  </r>
  <r>
    <d v="2012-04-03T00:00:00"/>
    <x v="1"/>
    <x v="1"/>
    <x v="3"/>
    <n v="0"/>
    <x v="2"/>
    <x v="1"/>
    <x v="1"/>
    <n v="466667"/>
    <n v="461483"/>
    <n v="396667"/>
    <n v="100133"/>
    <n v="1348"/>
    <n v="5424"/>
    <n v="6772"/>
  </r>
  <r>
    <d v="2012-04-10T00:00:00"/>
    <x v="1"/>
    <x v="1"/>
    <x v="3"/>
    <n v="0"/>
    <x v="2"/>
    <x v="1"/>
    <x v="1"/>
    <n v="446667"/>
    <n v="436233"/>
    <n v="435"/>
    <n v="249375"/>
    <n v="819"/>
    <n v="5099"/>
    <n v="5918"/>
  </r>
  <r>
    <d v="2012-04-17T00:00:00"/>
    <x v="1"/>
    <x v="1"/>
    <x v="3"/>
    <n v="0"/>
    <x v="2"/>
    <x v="1"/>
    <x v="1"/>
    <n v="608333"/>
    <n v="598487"/>
    <n v="390417"/>
    <n v="273629"/>
    <n v="989"/>
    <n v="5702"/>
    <n v="6691"/>
  </r>
  <r>
    <d v="2012-04-24T00:00:00"/>
    <x v="1"/>
    <x v="1"/>
    <x v="3"/>
    <n v="0"/>
    <x v="2"/>
    <x v="1"/>
    <x v="1"/>
    <n v="413333"/>
    <n v="405283"/>
    <n v="454167"/>
    <n v="249383"/>
    <n v="518"/>
    <n v="5115"/>
    <n v="5633"/>
  </r>
  <r>
    <d v="2012-05-01T00:00:00"/>
    <x v="1"/>
    <x v="1"/>
    <x v="4"/>
    <n v="0"/>
    <x v="2"/>
    <x v="1"/>
    <x v="0"/>
    <n v="613333"/>
    <n v="577021"/>
    <n v="659583"/>
    <n v="156096"/>
    <n v="653"/>
    <n v="5087"/>
    <n v="5740"/>
  </r>
  <r>
    <d v="2012-05-08T00:00:00"/>
    <x v="1"/>
    <x v="1"/>
    <x v="4"/>
    <n v="0"/>
    <x v="2"/>
    <x v="1"/>
    <x v="0"/>
    <n v="581667"/>
    <n v="557471"/>
    <n v="685833"/>
    <n v="296029"/>
    <n v="738"/>
    <n v="4990"/>
    <n v="5728"/>
  </r>
  <r>
    <d v="2012-05-15T00:00:00"/>
    <x v="1"/>
    <x v="1"/>
    <x v="4"/>
    <n v="0"/>
    <x v="2"/>
    <x v="1"/>
    <x v="0"/>
    <n v="611667"/>
    <n v="576404"/>
    <n v="794583"/>
    <n v="147392"/>
    <n v="625"/>
    <n v="4490"/>
    <n v="5115"/>
  </r>
  <r>
    <d v="2012-05-22T00:00:00"/>
    <x v="1"/>
    <x v="1"/>
    <x v="4"/>
    <n v="0"/>
    <x v="2"/>
    <x v="1"/>
    <x v="0"/>
    <n v="615"/>
    <n v="580825"/>
    <n v="765833"/>
    <n v="118167"/>
    <n v="819"/>
    <n v="5254"/>
    <n v="6073"/>
  </r>
  <r>
    <d v="2012-05-29T00:00:00"/>
    <x v="1"/>
    <x v="1"/>
    <x v="4"/>
    <n v="0"/>
    <x v="2"/>
    <x v="1"/>
    <x v="1"/>
    <n v="7225"/>
    <n v="672992"/>
    <n v="684583"/>
    <n v="2954"/>
    <n v="880"/>
    <n v="4863"/>
    <n v="5743"/>
  </r>
  <r>
    <d v="2012-06-05T00:00:00"/>
    <x v="1"/>
    <x v="1"/>
    <x v="5"/>
    <n v="0"/>
    <x v="2"/>
    <x v="1"/>
    <x v="0"/>
    <n v="540833"/>
    <n v="525892"/>
    <n v="613333"/>
    <n v="209575"/>
    <n v="968"/>
    <n v="6033"/>
    <n v="7001"/>
  </r>
  <r>
    <d v="2012-06-12T00:00:00"/>
    <x v="1"/>
    <x v="1"/>
    <x v="5"/>
    <n v="0"/>
    <x v="2"/>
    <x v="1"/>
    <x v="0"/>
    <n v="653333"/>
    <n v="597875"/>
    <n v="833333"/>
    <n v="214546"/>
    <n v="477"/>
    <n v="4495"/>
    <n v="4972"/>
  </r>
  <r>
    <d v="2012-06-19T00:00:00"/>
    <x v="1"/>
    <x v="1"/>
    <x v="5"/>
    <n v="0"/>
    <x v="2"/>
    <x v="1"/>
    <x v="1"/>
    <n v="688333"/>
    <n v="654692"/>
    <n v="69"/>
    <n v="148017"/>
    <n v="968"/>
    <n v="5857"/>
    <n v="6825"/>
  </r>
  <r>
    <d v="2012-06-26T00:00:00"/>
    <x v="2"/>
    <x v="1"/>
    <x v="5"/>
    <n v="0"/>
    <x v="2"/>
    <x v="1"/>
    <x v="1"/>
    <n v="630833"/>
    <n v="594704"/>
    <n v="373333"/>
    <n v="347642"/>
    <n v="1077"/>
    <n v="6365"/>
    <n v="7442"/>
  </r>
  <r>
    <d v="2012-07-03T00:00:00"/>
    <x v="2"/>
    <x v="1"/>
    <x v="6"/>
    <n v="0"/>
    <x v="2"/>
    <x v="1"/>
    <x v="1"/>
    <n v="780833"/>
    <n v="70265"/>
    <n v="492083"/>
    <n v="126237"/>
    <n v="1052"/>
    <n v="5608"/>
    <n v="6660"/>
  </r>
  <r>
    <d v="2012-07-10T00:00:00"/>
    <x v="2"/>
    <x v="1"/>
    <x v="6"/>
    <n v="0"/>
    <x v="2"/>
    <x v="1"/>
    <x v="0"/>
    <n v="720833"/>
    <n v="664796"/>
    <n v="6675"/>
    <n v="151737"/>
    <n v="954"/>
    <n v="5336"/>
    <n v="6290"/>
  </r>
  <r>
    <d v="2012-07-17T00:00:00"/>
    <x v="2"/>
    <x v="1"/>
    <x v="6"/>
    <n v="0"/>
    <x v="2"/>
    <x v="1"/>
    <x v="1"/>
    <n v="818333"/>
    <n v="755683"/>
    <n v="505833"/>
    <n v="114429"/>
    <n v="921"/>
    <n v="5865"/>
    <n v="6786"/>
  </r>
  <r>
    <d v="2012-07-24T00:00:00"/>
    <x v="2"/>
    <x v="1"/>
    <x v="6"/>
    <n v="0"/>
    <x v="2"/>
    <x v="1"/>
    <x v="1"/>
    <n v="750833"/>
    <n v="70645"/>
    <n v="655"/>
    <n v="211454"/>
    <n v="1140"/>
    <n v="6452"/>
    <n v="7592"/>
  </r>
  <r>
    <d v="2012-07-31T00:00:00"/>
    <x v="2"/>
    <x v="1"/>
    <x v="6"/>
    <n v="0"/>
    <x v="2"/>
    <x v="1"/>
    <x v="1"/>
    <n v="713333"/>
    <n v="662896"/>
    <n v="704167"/>
    <n v="165425"/>
    <n v="968"/>
    <n v="6248"/>
    <n v="7216"/>
  </r>
  <r>
    <d v="2012-08-07T00:00:00"/>
    <x v="2"/>
    <x v="1"/>
    <x v="7"/>
    <n v="0"/>
    <x v="2"/>
    <x v="1"/>
    <x v="0"/>
    <n v="735833"/>
    <n v="697621"/>
    <n v="70375"/>
    <n v="116908"/>
    <n v="1278"/>
    <n v="5995"/>
    <n v="7273"/>
  </r>
  <r>
    <d v="2012-08-14T00:00:00"/>
    <x v="2"/>
    <x v="1"/>
    <x v="7"/>
    <n v="0"/>
    <x v="2"/>
    <x v="1"/>
    <x v="1"/>
    <n v="726667"/>
    <n v="676779"/>
    <n v="686667"/>
    <n v="169158"/>
    <n v="1128"/>
    <n v="5656"/>
    <n v="6784"/>
  </r>
  <r>
    <d v="2012-08-21T00:00:00"/>
    <x v="2"/>
    <x v="1"/>
    <x v="7"/>
    <n v="0"/>
    <x v="2"/>
    <x v="1"/>
    <x v="1"/>
    <n v="649167"/>
    <n v="601025"/>
    <n v="67375"/>
    <n v="727708"/>
    <n v="1081"/>
    <n v="5925"/>
    <n v="7006"/>
  </r>
  <r>
    <d v="2012-08-28T00:00:00"/>
    <x v="2"/>
    <x v="1"/>
    <x v="7"/>
    <n v="0"/>
    <x v="2"/>
    <x v="1"/>
    <x v="1"/>
    <n v="728333"/>
    <n v="66605"/>
    <n v="62"/>
    <n v="190925"/>
    <n v="935"/>
    <n v="6105"/>
    <n v="7040"/>
  </r>
  <r>
    <d v="2012-09-04T00:00:00"/>
    <x v="2"/>
    <x v="1"/>
    <x v="8"/>
    <n v="0"/>
    <x v="2"/>
    <x v="1"/>
    <x v="1"/>
    <n v="725833"/>
    <n v="686888"/>
    <n v="755"/>
    <n v="236321"/>
    <n v="867"/>
    <n v="5997"/>
    <n v="6864"/>
  </r>
  <r>
    <d v="2012-09-11T00:00:00"/>
    <x v="2"/>
    <x v="1"/>
    <x v="8"/>
    <n v="0"/>
    <x v="2"/>
    <x v="1"/>
    <x v="1"/>
    <n v="5775"/>
    <n v="554292"/>
    <n v="52"/>
    <n v="920542"/>
    <n v="1070"/>
    <n v="6697"/>
    <n v="7767"/>
  </r>
  <r>
    <d v="2012-09-18T00:00:00"/>
    <x v="2"/>
    <x v="1"/>
    <x v="8"/>
    <n v="0"/>
    <x v="2"/>
    <x v="1"/>
    <x v="0"/>
    <n v="623333"/>
    <n v="565067"/>
    <n v="8725"/>
    <n v="357587"/>
    <n v="371"/>
    <n v="3702"/>
    <n v="4073"/>
  </r>
  <r>
    <d v="2012-09-25T00:00:00"/>
    <x v="3"/>
    <x v="1"/>
    <x v="8"/>
    <n v="0"/>
    <x v="2"/>
    <x v="1"/>
    <x v="1"/>
    <n v="55"/>
    <n v="544179"/>
    <n v="57"/>
    <n v="236321"/>
    <n v="845"/>
    <n v="6693"/>
    <n v="7538"/>
  </r>
  <r>
    <d v="2012-10-02T00:00:00"/>
    <x v="3"/>
    <x v="1"/>
    <x v="9"/>
    <n v="0"/>
    <x v="2"/>
    <x v="1"/>
    <x v="2"/>
    <n v="590833"/>
    <n v="542333"/>
    <n v="871667"/>
    <n v="104475"/>
    <n v="315"/>
    <n v="4324"/>
    <n v="4639"/>
  </r>
  <r>
    <d v="2012-10-09T00:00:00"/>
    <x v="3"/>
    <x v="1"/>
    <x v="9"/>
    <n v="0"/>
    <x v="2"/>
    <x v="1"/>
    <x v="0"/>
    <n v="446667"/>
    <n v="438112"/>
    <n v="761667"/>
    <n v="1903"/>
    <n v="601"/>
    <n v="5791"/>
    <n v="6392"/>
  </r>
  <r>
    <d v="2012-10-16T00:00:00"/>
    <x v="3"/>
    <x v="1"/>
    <x v="9"/>
    <n v="0"/>
    <x v="2"/>
    <x v="1"/>
    <x v="1"/>
    <n v="468333"/>
    <n v="460846"/>
    <n v="558333"/>
    <n v="182221"/>
    <n v="922"/>
    <n v="6612"/>
    <n v="7534"/>
  </r>
  <r>
    <d v="2012-10-23T00:00:00"/>
    <x v="3"/>
    <x v="1"/>
    <x v="9"/>
    <n v="0"/>
    <x v="2"/>
    <x v="1"/>
    <x v="1"/>
    <n v="544167"/>
    <n v="530304"/>
    <n v="641667"/>
    <n v="945458"/>
    <n v="841"/>
    <n v="6625"/>
    <n v="7466"/>
  </r>
  <r>
    <d v="2012-10-30T00:00:00"/>
    <x v="3"/>
    <x v="1"/>
    <x v="9"/>
    <n v="0"/>
    <x v="2"/>
    <x v="1"/>
    <x v="0"/>
    <n v="318182"/>
    <n v="309909"/>
    <n v="825455"/>
    <n v="213009"/>
    <n v="87"/>
    <n v="1009"/>
    <n v="1096"/>
  </r>
  <r>
    <d v="2012-11-06T00:00:00"/>
    <x v="3"/>
    <x v="1"/>
    <x v="10"/>
    <n v="0"/>
    <x v="2"/>
    <x v="1"/>
    <x v="1"/>
    <n v="280833"/>
    <n v="281567"/>
    <n v="567083"/>
    <n v="173513"/>
    <n v="466"/>
    <n v="5220"/>
    <n v="5686"/>
  </r>
  <r>
    <d v="2012-11-13T00:00:00"/>
    <x v="3"/>
    <x v="1"/>
    <x v="10"/>
    <n v="0"/>
    <x v="2"/>
    <x v="1"/>
    <x v="0"/>
    <n v="343333"/>
    <n v="323225"/>
    <n v="662917"/>
    <n v="342046"/>
    <n v="327"/>
    <n v="3767"/>
    <n v="4094"/>
  </r>
  <r>
    <d v="2012-11-20T00:00:00"/>
    <x v="3"/>
    <x v="1"/>
    <x v="10"/>
    <n v="0"/>
    <x v="2"/>
    <x v="1"/>
    <x v="0"/>
    <n v="374167"/>
    <n v="380667"/>
    <n v="685"/>
    <n v="82725"/>
    <n v="534"/>
    <n v="5100"/>
    <n v="5634"/>
  </r>
  <r>
    <d v="2012-11-27T00:00:00"/>
    <x v="3"/>
    <x v="1"/>
    <x v="10"/>
    <n v="0"/>
    <x v="2"/>
    <x v="1"/>
    <x v="0"/>
    <n v="291667"/>
    <n v="281558"/>
    <n v="786667"/>
    <n v="237562"/>
    <n v="123"/>
    <n v="3836"/>
    <n v="3959"/>
  </r>
  <r>
    <d v="2012-12-04T00:00:00"/>
    <x v="3"/>
    <x v="1"/>
    <x v="11"/>
    <n v="0"/>
    <x v="2"/>
    <x v="1"/>
    <x v="1"/>
    <n v="475833"/>
    <n v="469054"/>
    <n v="73375"/>
    <n v="174129"/>
    <n v="551"/>
    <n v="6055"/>
    <n v="6606"/>
  </r>
  <r>
    <d v="2012-12-11T00:00:00"/>
    <x v="3"/>
    <x v="1"/>
    <x v="11"/>
    <n v="0"/>
    <x v="2"/>
    <x v="1"/>
    <x v="0"/>
    <n v="353333"/>
    <n v="338363"/>
    <n v="596667"/>
    <n v="296037"/>
    <n v="282"/>
    <n v="5219"/>
    <n v="5501"/>
  </r>
  <r>
    <d v="2012-12-18T00:00:00"/>
    <x v="3"/>
    <x v="1"/>
    <x v="11"/>
    <n v="0"/>
    <x v="2"/>
    <x v="1"/>
    <x v="1"/>
    <n v="410833"/>
    <n v="409708"/>
    <n v="66625"/>
    <n v="221404"/>
    <n v="433"/>
    <n v="5124"/>
    <n v="5557"/>
  </r>
  <r>
    <d v="2012-12-25T00:00:00"/>
    <x v="0"/>
    <x v="1"/>
    <x v="11"/>
    <n v="1"/>
    <x v="2"/>
    <x v="0"/>
    <x v="0"/>
    <n v="291304"/>
    <n v="294465"/>
    <n v="734783"/>
    <n v="168726"/>
    <n v="440"/>
    <n v="573"/>
    <n v="1013"/>
  </r>
  <r>
    <d v="2011-01-05T00:00:00"/>
    <x v="0"/>
    <x v="0"/>
    <x v="0"/>
    <n v="0"/>
    <x v="3"/>
    <x v="1"/>
    <x v="1"/>
    <n v="226957"/>
    <n v="22927"/>
    <n v="436957"/>
    <n v="1869"/>
    <n v="82"/>
    <n v="1518"/>
    <n v="1600"/>
  </r>
  <r>
    <d v="2011-01-12T00:00:00"/>
    <x v="0"/>
    <x v="0"/>
    <x v="0"/>
    <n v="0"/>
    <x v="3"/>
    <x v="1"/>
    <x v="1"/>
    <n v="172727"/>
    <n v="160473"/>
    <n v="599545"/>
    <n v="304627"/>
    <n v="25"/>
    <n v="1137"/>
    <n v="1162"/>
  </r>
  <r>
    <d v="2011-01-19T00:00:00"/>
    <x v="0"/>
    <x v="0"/>
    <x v="0"/>
    <n v="0"/>
    <x v="3"/>
    <x v="1"/>
    <x v="0"/>
    <n v="292174"/>
    <n v="298422"/>
    <n v="741739"/>
    <n v="208317"/>
    <n v="78"/>
    <n v="1572"/>
    <n v="1650"/>
  </r>
  <r>
    <d v="2011-01-26T00:00:00"/>
    <x v="0"/>
    <x v="0"/>
    <x v="0"/>
    <n v="0"/>
    <x v="3"/>
    <x v="1"/>
    <x v="2"/>
    <n v="2175"/>
    <n v="2036"/>
    <n v="8625"/>
    <n v="29385"/>
    <n v="34"/>
    <n v="472"/>
    <n v="506"/>
  </r>
  <r>
    <d v="2011-02-02T00:00:00"/>
    <x v="0"/>
    <x v="0"/>
    <x v="1"/>
    <n v="0"/>
    <x v="3"/>
    <x v="1"/>
    <x v="0"/>
    <n v="26"/>
    <n v="254417"/>
    <n v="775417"/>
    <n v="264308"/>
    <n v="72"/>
    <n v="1454"/>
    <n v="1526"/>
  </r>
  <r>
    <d v="2011-02-09T00:00:00"/>
    <x v="0"/>
    <x v="0"/>
    <x v="1"/>
    <n v="0"/>
    <x v="3"/>
    <x v="1"/>
    <x v="0"/>
    <n v="134783"/>
    <n v="144283"/>
    <n v="494783"/>
    <n v="188839"/>
    <n v="53"/>
    <n v="1552"/>
    <n v="1605"/>
  </r>
  <r>
    <d v="2011-02-16T00:00:00"/>
    <x v="0"/>
    <x v="0"/>
    <x v="1"/>
    <n v="0"/>
    <x v="3"/>
    <x v="1"/>
    <x v="1"/>
    <n v="318261"/>
    <n v="3162"/>
    <n v="423478"/>
    <n v="251791"/>
    <n v="218"/>
    <n v="1897"/>
    <n v="2115"/>
  </r>
  <r>
    <d v="2011-02-23T00:00:00"/>
    <x v="0"/>
    <x v="0"/>
    <x v="1"/>
    <n v="0"/>
    <x v="3"/>
    <x v="1"/>
    <x v="1"/>
    <n v="221739"/>
    <n v="245717"/>
    <n v="423043"/>
    <n v="94113"/>
    <n v="139"/>
    <n v="1778"/>
    <n v="1917"/>
  </r>
  <r>
    <d v="2011-03-02T00:00:00"/>
    <x v="0"/>
    <x v="0"/>
    <x v="2"/>
    <n v="0"/>
    <x v="3"/>
    <x v="1"/>
    <x v="1"/>
    <n v="335"/>
    <n v="320071"/>
    <n v="449583"/>
    <n v="307833"/>
    <n v="231"/>
    <n v="1903"/>
    <n v="2134"/>
  </r>
  <r>
    <d v="2011-03-09T00:00:00"/>
    <x v="0"/>
    <x v="0"/>
    <x v="2"/>
    <n v="0"/>
    <x v="3"/>
    <x v="1"/>
    <x v="0"/>
    <n v="295833"/>
    <n v="286608"/>
    <n v="775417"/>
    <n v="22015"/>
    <n v="191"/>
    <n v="1700"/>
    <n v="1891"/>
  </r>
  <r>
    <d v="2011-03-16T00:00:00"/>
    <x v="0"/>
    <x v="0"/>
    <x v="2"/>
    <n v="0"/>
    <x v="3"/>
    <x v="1"/>
    <x v="0"/>
    <n v="365217"/>
    <n v="36693"/>
    <n v="776522"/>
    <n v="203117"/>
    <n v="321"/>
    <n v="1871"/>
    <n v="2192"/>
  </r>
  <r>
    <d v="2011-03-23T00:00:00"/>
    <x v="1"/>
    <x v="0"/>
    <x v="2"/>
    <n v="0"/>
    <x v="3"/>
    <x v="1"/>
    <x v="0"/>
    <n v="346957"/>
    <n v="337939"/>
    <n v="839565"/>
    <n v="234261"/>
    <n v="203"/>
    <n v="1918"/>
    <n v="2121"/>
  </r>
  <r>
    <d v="2011-03-30T00:00:00"/>
    <x v="1"/>
    <x v="0"/>
    <x v="2"/>
    <n v="0"/>
    <x v="3"/>
    <x v="1"/>
    <x v="0"/>
    <n v="3"/>
    <n v="29735"/>
    <n v="646667"/>
    <n v="172888"/>
    <n v="168"/>
    <n v="1368"/>
    <n v="1536"/>
  </r>
  <r>
    <d v="2011-04-06T00:00:00"/>
    <x v="1"/>
    <x v="0"/>
    <x v="3"/>
    <n v="0"/>
    <x v="3"/>
    <x v="1"/>
    <x v="1"/>
    <n v="390833"/>
    <n v="387608"/>
    <n v="470833"/>
    <n v="263063"/>
    <n v="413"/>
    <n v="2395"/>
    <n v="2808"/>
  </r>
  <r>
    <d v="2011-04-13T00:00:00"/>
    <x v="1"/>
    <x v="0"/>
    <x v="3"/>
    <n v="0"/>
    <x v="3"/>
    <x v="1"/>
    <x v="0"/>
    <n v="4125"/>
    <n v="417283"/>
    <n v="819167"/>
    <n v="250617"/>
    <n v="209"/>
    <n v="1953"/>
    <n v="2162"/>
  </r>
  <r>
    <d v="2011-04-20T00:00:00"/>
    <x v="1"/>
    <x v="0"/>
    <x v="3"/>
    <n v="0"/>
    <x v="3"/>
    <x v="1"/>
    <x v="1"/>
    <n v="595"/>
    <n v="564392"/>
    <n v="614167"/>
    <n v="241925"/>
    <n v="613"/>
    <n v="3331"/>
    <n v="3944"/>
  </r>
  <r>
    <d v="2011-04-27T00:00:00"/>
    <x v="1"/>
    <x v="0"/>
    <x v="3"/>
    <n v="0"/>
    <x v="3"/>
    <x v="1"/>
    <x v="0"/>
    <n v="62"/>
    <n v="575142"/>
    <n v="835417"/>
    <n v="3122"/>
    <n v="547"/>
    <n v="3325"/>
    <n v="3872"/>
  </r>
  <r>
    <d v="2011-05-04T00:00:00"/>
    <x v="1"/>
    <x v="0"/>
    <x v="4"/>
    <n v="0"/>
    <x v="3"/>
    <x v="1"/>
    <x v="0"/>
    <n v="414167"/>
    <n v="40465"/>
    <n v="737083"/>
    <n v="328996"/>
    <n v="255"/>
    <n v="2378"/>
    <n v="2633"/>
  </r>
  <r>
    <d v="2011-05-11T00:00:00"/>
    <x v="1"/>
    <x v="0"/>
    <x v="4"/>
    <n v="0"/>
    <x v="3"/>
    <x v="1"/>
    <x v="1"/>
    <n v="5425"/>
    <n v="5284"/>
    <n v="632917"/>
    <n v="120642"/>
    <n v="550"/>
    <n v="3632"/>
    <n v="4182"/>
  </r>
  <r>
    <d v="2011-05-18T00:00:00"/>
    <x v="1"/>
    <x v="0"/>
    <x v="4"/>
    <n v="0"/>
    <x v="3"/>
    <x v="1"/>
    <x v="0"/>
    <n v="55"/>
    <n v="527158"/>
    <n v="87"/>
    <n v="201492"/>
    <n v="536"/>
    <n v="3319"/>
    <n v="3855"/>
  </r>
  <r>
    <d v="2011-05-25T00:00:00"/>
    <x v="1"/>
    <x v="0"/>
    <x v="4"/>
    <n v="0"/>
    <x v="3"/>
    <x v="1"/>
    <x v="1"/>
    <n v="660833"/>
    <n v="615542"/>
    <n v="69625"/>
    <n v="154233"/>
    <n v="740"/>
    <n v="4238"/>
    <n v="4978"/>
  </r>
  <r>
    <d v="2011-06-01T00:00:00"/>
    <x v="1"/>
    <x v="0"/>
    <x v="5"/>
    <n v="0"/>
    <x v="3"/>
    <x v="1"/>
    <x v="0"/>
    <n v="764167"/>
    <n v="720967"/>
    <n v="677083"/>
    <n v="207092"/>
    <n v="513"/>
    <n v="3461"/>
    <n v="3974"/>
  </r>
  <r>
    <d v="2011-06-08T00:00:00"/>
    <x v="1"/>
    <x v="0"/>
    <x v="5"/>
    <n v="0"/>
    <x v="3"/>
    <x v="1"/>
    <x v="1"/>
    <n v="775833"/>
    <n v="727279"/>
    <n v="622083"/>
    <n v="136817"/>
    <n v="676"/>
    <n v="3725"/>
    <n v="4401"/>
  </r>
  <r>
    <d v="2011-06-15T00:00:00"/>
    <x v="1"/>
    <x v="0"/>
    <x v="5"/>
    <n v="0"/>
    <x v="3"/>
    <x v="1"/>
    <x v="1"/>
    <n v="626667"/>
    <n v="587754"/>
    <n v="471667"/>
    <n v="167912"/>
    <n v="769"/>
    <n v="4411"/>
    <n v="5180"/>
  </r>
  <r>
    <d v="2011-06-22T00:00:00"/>
    <x v="2"/>
    <x v="0"/>
    <x v="5"/>
    <n v="0"/>
    <x v="3"/>
    <x v="1"/>
    <x v="1"/>
    <n v="733333"/>
    <n v="693829"/>
    <n v="7075"/>
    <n v="172262"/>
    <n v="661"/>
    <n v="3846"/>
    <n v="4507"/>
  </r>
  <r>
    <d v="2011-06-29T00:00:00"/>
    <x v="2"/>
    <x v="0"/>
    <x v="5"/>
    <n v="0"/>
    <x v="3"/>
    <x v="1"/>
    <x v="1"/>
    <n v="728333"/>
    <n v="654688"/>
    <n v="497917"/>
    <n v="261821"/>
    <n v="848"/>
    <n v="4377"/>
    <n v="5225"/>
  </r>
  <r>
    <d v="2011-07-06T00:00:00"/>
    <x v="2"/>
    <x v="0"/>
    <x v="6"/>
    <n v="0"/>
    <x v="3"/>
    <x v="1"/>
    <x v="1"/>
    <n v="72"/>
    <n v="685633"/>
    <n v="743333"/>
    <n v="149883"/>
    <n v="784"/>
    <n v="3845"/>
    <n v="4629"/>
  </r>
  <r>
    <d v="2011-07-13T00:00:00"/>
    <x v="2"/>
    <x v="0"/>
    <x v="6"/>
    <n v="0"/>
    <x v="3"/>
    <x v="1"/>
    <x v="1"/>
    <n v="746667"/>
    <n v="689404"/>
    <n v="631667"/>
    <n v="146133"/>
    <n v="748"/>
    <n v="3594"/>
    <n v="4342"/>
  </r>
  <r>
    <d v="2011-07-20T00:00:00"/>
    <x v="2"/>
    <x v="0"/>
    <x v="6"/>
    <n v="0"/>
    <x v="3"/>
    <x v="1"/>
    <x v="1"/>
    <n v="768333"/>
    <n v="74685"/>
    <n v="707083"/>
    <n v="113817"/>
    <n v="644"/>
    <n v="3688"/>
    <n v="4332"/>
  </r>
  <r>
    <d v="2011-07-27T00:00:00"/>
    <x v="2"/>
    <x v="0"/>
    <x v="6"/>
    <n v="0"/>
    <x v="3"/>
    <x v="1"/>
    <x v="1"/>
    <n v="775"/>
    <n v="690667"/>
    <n v="402917"/>
    <n v="183463"/>
    <n v="755"/>
    <n v="3901"/>
    <n v="4656"/>
  </r>
  <r>
    <d v="2011-08-03T00:00:00"/>
    <x v="2"/>
    <x v="0"/>
    <x v="7"/>
    <n v="0"/>
    <x v="3"/>
    <x v="1"/>
    <x v="0"/>
    <n v="731667"/>
    <n v="679937"/>
    <n v="6575"/>
    <n v="135583"/>
    <n v="467"/>
    <n v="3107"/>
    <n v="3574"/>
  </r>
  <r>
    <d v="2011-08-10T00:00:00"/>
    <x v="2"/>
    <x v="0"/>
    <x v="7"/>
    <n v="0"/>
    <x v="3"/>
    <x v="1"/>
    <x v="1"/>
    <n v="766667"/>
    <n v="684983"/>
    <n v="424167"/>
    <n v="200258"/>
    <n v="884"/>
    <n v="3896"/>
    <n v="4780"/>
  </r>
  <r>
    <d v="2011-08-17T00:00:00"/>
    <x v="2"/>
    <x v="0"/>
    <x v="7"/>
    <n v="0"/>
    <x v="3"/>
    <x v="1"/>
    <x v="1"/>
    <n v="723333"/>
    <n v="666671"/>
    <n v="575417"/>
    <n v="143667"/>
    <n v="668"/>
    <n v="4026"/>
    <n v="4694"/>
  </r>
  <r>
    <d v="2011-08-24T00:00:00"/>
    <x v="2"/>
    <x v="0"/>
    <x v="7"/>
    <n v="0"/>
    <x v="3"/>
    <x v="1"/>
    <x v="1"/>
    <n v="673333"/>
    <n v="630692"/>
    <n v="605"/>
    <n v="253108"/>
    <n v="949"/>
    <n v="4181"/>
    <n v="5130"/>
  </r>
  <r>
    <d v="2011-08-31T00:00:00"/>
    <x v="2"/>
    <x v="0"/>
    <x v="7"/>
    <n v="0"/>
    <x v="3"/>
    <x v="1"/>
    <x v="1"/>
    <n v="656667"/>
    <n v="611121"/>
    <n v="597917"/>
    <n v="833333"/>
    <n v="688"/>
    <n v="4370"/>
    <n v="5058"/>
  </r>
  <r>
    <d v="2011-09-07T00:00:00"/>
    <x v="2"/>
    <x v="0"/>
    <x v="8"/>
    <n v="0"/>
    <x v="3"/>
    <x v="1"/>
    <x v="2"/>
    <n v="599167"/>
    <n v="544229"/>
    <n v="917083"/>
    <n v="970208"/>
    <n v="118"/>
    <n v="1878"/>
    <n v="1996"/>
  </r>
  <r>
    <d v="2011-09-14T00:00:00"/>
    <x v="2"/>
    <x v="0"/>
    <x v="8"/>
    <n v="0"/>
    <x v="3"/>
    <x v="1"/>
    <x v="1"/>
    <n v="673333"/>
    <n v="6269"/>
    <n v="697083"/>
    <n v="1673"/>
    <n v="647"/>
    <n v="4138"/>
    <n v="4785"/>
  </r>
  <r>
    <d v="2011-09-21T00:00:00"/>
    <x v="2"/>
    <x v="0"/>
    <x v="8"/>
    <n v="0"/>
    <x v="3"/>
    <x v="1"/>
    <x v="0"/>
    <n v="595"/>
    <n v="550533"/>
    <n v="9"/>
    <n v="964042"/>
    <n v="539"/>
    <n v="3813"/>
    <n v="4352"/>
  </r>
  <r>
    <d v="2011-09-28T00:00:00"/>
    <x v="3"/>
    <x v="0"/>
    <x v="8"/>
    <n v="0"/>
    <x v="3"/>
    <x v="1"/>
    <x v="0"/>
    <n v="635"/>
    <n v="575158"/>
    <n v="84875"/>
    <n v="148629"/>
    <n v="480"/>
    <n v="3427"/>
    <n v="3907"/>
  </r>
  <r>
    <d v="2011-10-05T00:00:00"/>
    <x v="3"/>
    <x v="0"/>
    <x v="9"/>
    <n v="0"/>
    <x v="3"/>
    <x v="1"/>
    <x v="1"/>
    <n v="538333"/>
    <n v="527138"/>
    <n v="647917"/>
    <n v="17725"/>
    <n v="559"/>
    <n v="4267"/>
    <n v="4826"/>
  </r>
  <r>
    <d v="2011-10-12T00:00:00"/>
    <x v="3"/>
    <x v="0"/>
    <x v="9"/>
    <n v="0"/>
    <x v="3"/>
    <x v="1"/>
    <x v="2"/>
    <n v="543333"/>
    <n v="517717"/>
    <n v="90625"/>
    <n v="24815"/>
    <n v="217"/>
    <n v="2199"/>
    <n v="2416"/>
  </r>
  <r>
    <d v="2011-10-19T00:00:00"/>
    <x v="3"/>
    <x v="0"/>
    <x v="9"/>
    <n v="0"/>
    <x v="3"/>
    <x v="1"/>
    <x v="2"/>
    <n v="541739"/>
    <n v="513848"/>
    <n v="895217"/>
    <n v="243339"/>
    <n v="254"/>
    <n v="2170"/>
    <n v="2424"/>
  </r>
  <r>
    <d v="2011-10-26T00:00:00"/>
    <x v="3"/>
    <x v="0"/>
    <x v="9"/>
    <n v="0"/>
    <x v="3"/>
    <x v="1"/>
    <x v="0"/>
    <n v="484167"/>
    <n v="472846"/>
    <n v="720417"/>
    <n v="148642"/>
    <n v="404"/>
    <n v="3490"/>
    <n v="3894"/>
  </r>
  <r>
    <d v="2011-11-02T00:00:00"/>
    <x v="3"/>
    <x v="0"/>
    <x v="10"/>
    <n v="0"/>
    <x v="3"/>
    <x v="1"/>
    <x v="1"/>
    <n v="3775"/>
    <n v="390133"/>
    <n v="71875"/>
    <n v="820917"/>
    <n v="370"/>
    <n v="3816"/>
    <n v="4186"/>
  </r>
  <r>
    <d v="2011-11-09T00:00:00"/>
    <x v="3"/>
    <x v="0"/>
    <x v="10"/>
    <n v="0"/>
    <x v="3"/>
    <x v="1"/>
    <x v="1"/>
    <n v="4"/>
    <n v="409079"/>
    <n v="758333"/>
    <n v="621958"/>
    <n v="305"/>
    <n v="3804"/>
    <n v="4109"/>
  </r>
  <r>
    <d v="2011-11-16T00:00:00"/>
    <x v="3"/>
    <x v="0"/>
    <x v="10"/>
    <n v="0"/>
    <x v="3"/>
    <x v="1"/>
    <x v="2"/>
    <n v="456667"/>
    <n v="451988"/>
    <n v="93"/>
    <n v="136829"/>
    <n v="145"/>
    <n v="1672"/>
    <n v="1817"/>
  </r>
  <r>
    <d v="2011-11-23T00:00:00"/>
    <x v="3"/>
    <x v="0"/>
    <x v="10"/>
    <n v="0"/>
    <x v="3"/>
    <x v="1"/>
    <x v="0"/>
    <n v="440833"/>
    <n v="430537"/>
    <n v="757917"/>
    <n v="335825"/>
    <n v="112"/>
    <n v="2454"/>
    <n v="2566"/>
  </r>
  <r>
    <d v="2011-11-30T00:00:00"/>
    <x v="3"/>
    <x v="0"/>
    <x v="10"/>
    <n v="0"/>
    <x v="3"/>
    <x v="1"/>
    <x v="1"/>
    <n v="325"/>
    <n v="311221"/>
    <n v="613333"/>
    <n v="271158"/>
    <n v="188"/>
    <n v="3425"/>
    <n v="3613"/>
  </r>
  <r>
    <d v="2011-12-07T00:00:00"/>
    <x v="3"/>
    <x v="0"/>
    <x v="11"/>
    <n v="0"/>
    <x v="3"/>
    <x v="1"/>
    <x v="2"/>
    <n v="41"/>
    <n v="400246"/>
    <n v="970417"/>
    <n v="266175"/>
    <n v="50"/>
    <n v="655"/>
    <n v="705"/>
  </r>
  <r>
    <d v="2011-12-14T00:00:00"/>
    <x v="3"/>
    <x v="0"/>
    <x v="11"/>
    <n v="0"/>
    <x v="3"/>
    <x v="1"/>
    <x v="0"/>
    <n v="3175"/>
    <n v="338362"/>
    <n v="66375"/>
    <n v="609583"/>
    <n v="178"/>
    <n v="3562"/>
    <n v="3740"/>
  </r>
  <r>
    <d v="2011-12-21T00:00:00"/>
    <x v="0"/>
    <x v="0"/>
    <x v="11"/>
    <n v="0"/>
    <x v="3"/>
    <x v="1"/>
    <x v="0"/>
    <n v="428333"/>
    <n v="428017"/>
    <n v="858333"/>
    <n v="2214"/>
    <n v="107"/>
    <n v="2553"/>
    <n v="2660"/>
  </r>
  <r>
    <d v="2011-12-28T00:00:00"/>
    <x v="0"/>
    <x v="0"/>
    <x v="11"/>
    <n v="0"/>
    <x v="3"/>
    <x v="1"/>
    <x v="1"/>
    <n v="29913"/>
    <n v="279974"/>
    <n v="503913"/>
    <n v="293961"/>
    <n v="255"/>
    <n v="2047"/>
    <n v="2302"/>
  </r>
  <r>
    <d v="2012-01-04T00:00:00"/>
    <x v="0"/>
    <x v="1"/>
    <x v="0"/>
    <n v="0"/>
    <x v="3"/>
    <x v="1"/>
    <x v="0"/>
    <n v="1075"/>
    <n v="119337"/>
    <n v="414583"/>
    <n v="1847"/>
    <n v="95"/>
    <n v="2273"/>
    <n v="2368"/>
  </r>
  <r>
    <d v="2012-01-11T00:00:00"/>
    <x v="0"/>
    <x v="1"/>
    <x v="0"/>
    <n v="0"/>
    <x v="3"/>
    <x v="1"/>
    <x v="0"/>
    <n v="274167"/>
    <n v="282821"/>
    <n v="8475"/>
    <n v="131221"/>
    <n v="92"/>
    <n v="2085"/>
    <n v="2177"/>
  </r>
  <r>
    <d v="2012-01-18T00:00:00"/>
    <x v="0"/>
    <x v="1"/>
    <x v="0"/>
    <n v="0"/>
    <x v="3"/>
    <x v="1"/>
    <x v="1"/>
    <n v="303333"/>
    <n v="275254"/>
    <n v="443333"/>
    <n v="415429"/>
    <n v="109"/>
    <n v="3267"/>
    <n v="3376"/>
  </r>
  <r>
    <d v="2012-01-25T00:00:00"/>
    <x v="0"/>
    <x v="1"/>
    <x v="0"/>
    <n v="0"/>
    <x v="3"/>
    <x v="1"/>
    <x v="1"/>
    <n v="294167"/>
    <n v="294821"/>
    <n v="64375"/>
    <n v="161071"/>
    <n v="467"/>
    <n v="3803"/>
    <n v="4270"/>
  </r>
  <r>
    <d v="2012-02-01T00:00:00"/>
    <x v="0"/>
    <x v="1"/>
    <x v="1"/>
    <n v="0"/>
    <x v="3"/>
    <x v="1"/>
    <x v="1"/>
    <n v="469167"/>
    <n v="466538"/>
    <n v="507917"/>
    <n v="189067"/>
    <n v="304"/>
    <n v="4275"/>
    <n v="4579"/>
  </r>
  <r>
    <d v="2012-02-08T00:00:00"/>
    <x v="0"/>
    <x v="1"/>
    <x v="1"/>
    <n v="0"/>
    <x v="3"/>
    <x v="1"/>
    <x v="0"/>
    <n v="256667"/>
    <n v="266421"/>
    <n v="722917"/>
    <n v="133721"/>
    <n v="109"/>
    <n v="2693"/>
    <n v="2802"/>
  </r>
  <r>
    <d v="2012-02-15T00:00:00"/>
    <x v="0"/>
    <x v="1"/>
    <x v="1"/>
    <n v="0"/>
    <x v="3"/>
    <x v="1"/>
    <x v="1"/>
    <n v="348333"/>
    <n v="351629"/>
    <n v="53125"/>
    <n v="1816"/>
    <n v="141"/>
    <n v="4028"/>
    <n v="4169"/>
  </r>
  <r>
    <d v="2012-02-22T00:00:00"/>
    <x v="0"/>
    <x v="1"/>
    <x v="1"/>
    <n v="0"/>
    <x v="3"/>
    <x v="1"/>
    <x v="1"/>
    <n v="395833"/>
    <n v="392667"/>
    <n v="567917"/>
    <n v="234471"/>
    <n v="394"/>
    <n v="4379"/>
    <n v="4773"/>
  </r>
  <r>
    <d v="2012-02-29T00:00:00"/>
    <x v="0"/>
    <x v="1"/>
    <x v="1"/>
    <n v="0"/>
    <x v="3"/>
    <x v="1"/>
    <x v="0"/>
    <n v="344348"/>
    <n v="34847"/>
    <n v="804783"/>
    <n v="179117"/>
    <n v="65"/>
    <n v="1769"/>
    <n v="1834"/>
  </r>
  <r>
    <d v="2012-03-07T00:00:00"/>
    <x v="0"/>
    <x v="1"/>
    <x v="2"/>
    <n v="0"/>
    <x v="3"/>
    <x v="1"/>
    <x v="1"/>
    <n v="404167"/>
    <n v="3851"/>
    <n v="513333"/>
    <n v="345779"/>
    <n v="432"/>
    <n v="4484"/>
    <n v="4916"/>
  </r>
  <r>
    <d v="2012-03-14T00:00:00"/>
    <x v="0"/>
    <x v="1"/>
    <x v="2"/>
    <n v="0"/>
    <x v="3"/>
    <x v="1"/>
    <x v="1"/>
    <n v="5725"/>
    <n v="548617"/>
    <n v="507083"/>
    <n v="115062"/>
    <n v="997"/>
    <n v="5315"/>
    <n v="6312"/>
  </r>
  <r>
    <d v="2012-03-21T00:00:00"/>
    <x v="1"/>
    <x v="1"/>
    <x v="2"/>
    <n v="0"/>
    <x v="3"/>
    <x v="1"/>
    <x v="0"/>
    <n v="531667"/>
    <n v="513258"/>
    <n v="82125"/>
    <n v="895583"/>
    <n v="1122"/>
    <n v="5108"/>
    <n v="6230"/>
  </r>
  <r>
    <d v="2012-03-28T00:00:00"/>
    <x v="1"/>
    <x v="1"/>
    <x v="2"/>
    <n v="0"/>
    <x v="3"/>
    <x v="1"/>
    <x v="1"/>
    <n v="484167"/>
    <n v="47095"/>
    <n v="48125"/>
    <n v="291671"/>
    <n v="674"/>
    <n v="5024"/>
    <n v="5698"/>
  </r>
  <r>
    <d v="2012-04-04T00:00:00"/>
    <x v="1"/>
    <x v="1"/>
    <x v="3"/>
    <n v="0"/>
    <x v="3"/>
    <x v="1"/>
    <x v="1"/>
    <n v="541667"/>
    <n v="53345"/>
    <n v="469583"/>
    <n v="180975"/>
    <n v="1058"/>
    <n v="5378"/>
    <n v="6436"/>
  </r>
  <r>
    <d v="2012-04-11T00:00:00"/>
    <x v="1"/>
    <x v="1"/>
    <x v="3"/>
    <n v="0"/>
    <x v="3"/>
    <x v="1"/>
    <x v="1"/>
    <n v="348696"/>
    <n v="337274"/>
    <n v="469565"/>
    <n v="295274"/>
    <n v="482"/>
    <n v="4380"/>
    <n v="4862"/>
  </r>
  <r>
    <d v="2012-04-18T00:00:00"/>
    <x v="1"/>
    <x v="1"/>
    <x v="3"/>
    <n v="0"/>
    <x v="3"/>
    <x v="1"/>
    <x v="0"/>
    <n v="463333"/>
    <n v="457038"/>
    <n v="569167"/>
    <n v="167912"/>
    <n v="347"/>
    <n v="4020"/>
    <n v="4367"/>
  </r>
  <r>
    <d v="2012-04-25T00:00:00"/>
    <x v="1"/>
    <x v="1"/>
    <x v="3"/>
    <n v="0"/>
    <x v="3"/>
    <x v="1"/>
    <x v="1"/>
    <n v="476667"/>
    <n v="470317"/>
    <n v="427917"/>
    <n v="118792"/>
    <n v="655"/>
    <n v="5541"/>
    <n v="6196"/>
  </r>
  <r>
    <d v="2012-05-02T00:00:00"/>
    <x v="1"/>
    <x v="1"/>
    <x v="4"/>
    <n v="0"/>
    <x v="3"/>
    <x v="1"/>
    <x v="1"/>
    <n v="564167"/>
    <n v="537896"/>
    <n v="797083"/>
    <n v="138058"/>
    <n v="667"/>
    <n v="5502"/>
    <n v="6169"/>
  </r>
  <r>
    <d v="2012-05-09T00:00:00"/>
    <x v="1"/>
    <x v="1"/>
    <x v="4"/>
    <n v="0"/>
    <x v="3"/>
    <x v="1"/>
    <x v="0"/>
    <n v="575"/>
    <n v="553025"/>
    <n v="744167"/>
    <n v="216412"/>
    <n v="620"/>
    <n v="4097"/>
    <n v="4717"/>
  </r>
  <r>
    <d v="2012-05-16T00:00:00"/>
    <x v="1"/>
    <x v="1"/>
    <x v="4"/>
    <n v="0"/>
    <x v="3"/>
    <x v="1"/>
    <x v="1"/>
    <n v="636667"/>
    <n v="595975"/>
    <n v="697917"/>
    <n v="122512"/>
    <n v="991"/>
    <n v="6433"/>
    <n v="7424"/>
  </r>
  <r>
    <d v="2012-05-23T00:00:00"/>
    <x v="1"/>
    <x v="1"/>
    <x v="4"/>
    <n v="0"/>
    <x v="3"/>
    <x v="1"/>
    <x v="0"/>
    <n v="621667"/>
    <n v="584612"/>
    <n v="774583"/>
    <n v="102"/>
    <n v="766"/>
    <n v="4494"/>
    <n v="5260"/>
  </r>
  <r>
    <d v="2012-05-30T00:00:00"/>
    <x v="1"/>
    <x v="1"/>
    <x v="4"/>
    <n v="0"/>
    <x v="3"/>
    <x v="1"/>
    <x v="0"/>
    <n v="656667"/>
    <n v="611129"/>
    <n v="67"/>
    <n v="134329"/>
    <n v="745"/>
    <n v="6110"/>
    <n v="6855"/>
  </r>
  <r>
    <d v="2012-06-06T00:00:00"/>
    <x v="1"/>
    <x v="1"/>
    <x v="5"/>
    <n v="0"/>
    <x v="3"/>
    <x v="1"/>
    <x v="1"/>
    <n v="554167"/>
    <n v="542292"/>
    <n v="61125"/>
    <n v="77125"/>
    <n v="1027"/>
    <n v="6028"/>
    <n v="7055"/>
  </r>
  <r>
    <d v="2012-06-13T00:00:00"/>
    <x v="1"/>
    <x v="1"/>
    <x v="5"/>
    <n v="0"/>
    <x v="3"/>
    <x v="1"/>
    <x v="1"/>
    <n v="655833"/>
    <n v="611117"/>
    <n v="582083"/>
    <n v="343279"/>
    <n v="1173"/>
    <n v="6248"/>
    <n v="7421"/>
  </r>
  <r>
    <d v="2012-06-20T00:00:00"/>
    <x v="1"/>
    <x v="1"/>
    <x v="5"/>
    <n v="0"/>
    <x v="3"/>
    <x v="1"/>
    <x v="1"/>
    <n v="7825"/>
    <n v="720975"/>
    <n v="592083"/>
    <n v="113812"/>
    <n v="872"/>
    <n v="5339"/>
    <n v="6211"/>
  </r>
  <r>
    <d v="2012-06-27T00:00:00"/>
    <x v="2"/>
    <x v="1"/>
    <x v="5"/>
    <n v="0"/>
    <x v="3"/>
    <x v="1"/>
    <x v="1"/>
    <n v="6975"/>
    <n v="640792"/>
    <n v="36"/>
    <n v="271775"/>
    <n v="1077"/>
    <n v="6258"/>
    <n v="7335"/>
  </r>
  <r>
    <d v="2012-07-04T00:00:00"/>
    <x v="2"/>
    <x v="1"/>
    <x v="6"/>
    <n v="1"/>
    <x v="3"/>
    <x v="0"/>
    <x v="1"/>
    <n v="789167"/>
    <n v="732337"/>
    <n v="53875"/>
    <n v="13495"/>
    <n v="2562"/>
    <n v="4841"/>
    <n v="7403"/>
  </r>
  <r>
    <d v="2012-07-11T00:00:00"/>
    <x v="2"/>
    <x v="1"/>
    <x v="6"/>
    <n v="0"/>
    <x v="3"/>
    <x v="1"/>
    <x v="1"/>
    <n v="716667"/>
    <n v="650271"/>
    <n v="633333"/>
    <n v="151733"/>
    <n v="975"/>
    <n v="6289"/>
    <n v="7264"/>
  </r>
  <r>
    <d v="2012-07-18T00:00:00"/>
    <x v="2"/>
    <x v="1"/>
    <x v="6"/>
    <n v="0"/>
    <x v="3"/>
    <x v="1"/>
    <x v="1"/>
    <n v="793333"/>
    <n v="745583"/>
    <n v="577083"/>
    <n v="137442"/>
    <n v="799"/>
    <n v="4914"/>
    <n v="5713"/>
  </r>
  <r>
    <d v="2012-07-25T00:00:00"/>
    <x v="2"/>
    <x v="1"/>
    <x v="6"/>
    <n v="0"/>
    <x v="3"/>
    <x v="1"/>
    <x v="1"/>
    <n v="724167"/>
    <n v="654054"/>
    <n v="45"/>
    <n v="1648"/>
    <n v="1383"/>
    <n v="6790"/>
    <n v="8173"/>
  </r>
  <r>
    <d v="2012-08-01T00:00:00"/>
    <x v="2"/>
    <x v="1"/>
    <x v="7"/>
    <n v="0"/>
    <x v="3"/>
    <x v="1"/>
    <x v="1"/>
    <n v="7175"/>
    <n v="667308"/>
    <n v="6775"/>
    <n v="141179"/>
    <n v="1074"/>
    <n v="6506"/>
    <n v="7580"/>
  </r>
  <r>
    <d v="2012-08-08T00:00:00"/>
    <x v="2"/>
    <x v="1"/>
    <x v="7"/>
    <n v="0"/>
    <x v="3"/>
    <x v="1"/>
    <x v="0"/>
    <n v="75"/>
    <n v="707717"/>
    <n v="672917"/>
    <n v="1107"/>
    <n v="1263"/>
    <n v="6271"/>
    <n v="7534"/>
  </r>
  <r>
    <d v="2012-08-15T00:00:00"/>
    <x v="2"/>
    <x v="1"/>
    <x v="7"/>
    <n v="0"/>
    <x v="3"/>
    <x v="1"/>
    <x v="1"/>
    <n v="706667"/>
    <n v="654037"/>
    <n v="619583"/>
    <n v="169771"/>
    <n v="1198"/>
    <n v="6149"/>
    <n v="7347"/>
  </r>
  <r>
    <d v="2012-08-22T00:00:00"/>
    <x v="2"/>
    <x v="1"/>
    <x v="7"/>
    <n v="0"/>
    <x v="3"/>
    <x v="1"/>
    <x v="1"/>
    <n v="6675"/>
    <n v="621854"/>
    <n v="677083"/>
    <n v="702833"/>
    <n v="1094"/>
    <n v="6281"/>
    <n v="7375"/>
  </r>
  <r>
    <d v="2012-08-29T00:00:00"/>
    <x v="2"/>
    <x v="1"/>
    <x v="7"/>
    <n v="0"/>
    <x v="3"/>
    <x v="1"/>
    <x v="1"/>
    <n v="685"/>
    <n v="635733"/>
    <n v="552083"/>
    <n v="112562"/>
    <n v="1177"/>
    <n v="6520"/>
    <n v="7697"/>
  </r>
  <r>
    <d v="2012-09-05T00:00:00"/>
    <x v="2"/>
    <x v="1"/>
    <x v="8"/>
    <n v="0"/>
    <x v="3"/>
    <x v="1"/>
    <x v="1"/>
    <n v="736667"/>
    <n v="708983"/>
    <n v="74125"/>
    <n v="187808"/>
    <n v="832"/>
    <n v="6280"/>
    <n v="7112"/>
  </r>
  <r>
    <d v="2012-09-12T00:00:00"/>
    <x v="2"/>
    <x v="1"/>
    <x v="8"/>
    <n v="0"/>
    <x v="3"/>
    <x v="1"/>
    <x v="1"/>
    <n v="599167"/>
    <n v="570075"/>
    <n v="577083"/>
    <n v="131846"/>
    <n v="1050"/>
    <n v="6820"/>
    <n v="7870"/>
  </r>
  <r>
    <d v="2012-09-19T00:00:00"/>
    <x v="2"/>
    <x v="1"/>
    <x v="8"/>
    <n v="0"/>
    <x v="3"/>
    <x v="1"/>
    <x v="1"/>
    <n v="5525"/>
    <n v="540404"/>
    <n v="536667"/>
    <n v="215175"/>
    <n v="788"/>
    <n v="6803"/>
    <n v="7591"/>
  </r>
  <r>
    <d v="2012-09-26T00:00:00"/>
    <x v="3"/>
    <x v="1"/>
    <x v="8"/>
    <n v="0"/>
    <x v="3"/>
    <x v="1"/>
    <x v="1"/>
    <n v="635"/>
    <n v="596613"/>
    <n v="630833"/>
    <n v="2444"/>
    <n v="787"/>
    <n v="6946"/>
    <n v="7733"/>
  </r>
  <r>
    <d v="2012-10-03T00:00:00"/>
    <x v="3"/>
    <x v="1"/>
    <x v="9"/>
    <n v="0"/>
    <x v="3"/>
    <x v="1"/>
    <x v="0"/>
    <n v="6575"/>
    <n v="599133"/>
    <n v="79375"/>
    <n v="665458"/>
    <n v="728"/>
    <n v="6844"/>
    <n v="7572"/>
  </r>
  <r>
    <d v="2012-10-10T00:00:00"/>
    <x v="3"/>
    <x v="1"/>
    <x v="9"/>
    <n v="0"/>
    <x v="3"/>
    <x v="1"/>
    <x v="1"/>
    <n v="514167"/>
    <n v="503142"/>
    <n v="630833"/>
    <n v="187821"/>
    <n v="780"/>
    <n v="6911"/>
    <n v="7691"/>
  </r>
  <r>
    <d v="2012-10-17T00:00:00"/>
    <x v="3"/>
    <x v="1"/>
    <x v="9"/>
    <n v="0"/>
    <x v="3"/>
    <x v="1"/>
    <x v="1"/>
    <n v="455833"/>
    <n v="450108"/>
    <n v="692917"/>
    <n v="101371"/>
    <n v="979"/>
    <n v="6482"/>
    <n v="7461"/>
  </r>
  <r>
    <d v="2012-10-24T00:00:00"/>
    <x v="3"/>
    <x v="1"/>
    <x v="9"/>
    <n v="0"/>
    <x v="3"/>
    <x v="1"/>
    <x v="1"/>
    <n v="5875"/>
    <n v="558721"/>
    <n v="63625"/>
    <n v="727792"/>
    <n v="795"/>
    <n v="6898"/>
    <n v="7693"/>
  </r>
  <r>
    <d v="2012-10-31T00:00:00"/>
    <x v="3"/>
    <x v="1"/>
    <x v="9"/>
    <n v="0"/>
    <x v="3"/>
    <x v="1"/>
    <x v="0"/>
    <n v="3575"/>
    <n v="3611"/>
    <n v="666667"/>
    <n v="166667"/>
    <n v="419"/>
    <n v="5147"/>
    <n v="5566"/>
  </r>
  <r>
    <d v="2012-11-07T00:00:00"/>
    <x v="3"/>
    <x v="1"/>
    <x v="10"/>
    <n v="0"/>
    <x v="3"/>
    <x v="1"/>
    <x v="0"/>
    <n v="295833"/>
    <n v="274621"/>
    <n v="5475"/>
    <n v="304108"/>
    <n v="326"/>
    <n v="4709"/>
    <n v="5035"/>
  </r>
  <r>
    <d v="2012-11-14T00:00:00"/>
    <x v="3"/>
    <x v="1"/>
    <x v="10"/>
    <n v="0"/>
    <x v="3"/>
    <x v="1"/>
    <x v="1"/>
    <n v="289167"/>
    <n v="281563"/>
    <n v="552083"/>
    <n v="199625"/>
    <n v="373"/>
    <n v="5122"/>
    <n v="5495"/>
  </r>
  <r>
    <d v="2012-11-21T00:00:00"/>
    <x v="3"/>
    <x v="1"/>
    <x v="10"/>
    <n v="0"/>
    <x v="3"/>
    <x v="1"/>
    <x v="1"/>
    <n v="353333"/>
    <n v="364892"/>
    <n v="61375"/>
    <n v="103246"/>
    <n v="615"/>
    <n v="4531"/>
    <n v="5146"/>
  </r>
  <r>
    <d v="2012-11-28T00:00:00"/>
    <x v="3"/>
    <x v="1"/>
    <x v="10"/>
    <n v="0"/>
    <x v="3"/>
    <x v="1"/>
    <x v="1"/>
    <n v="296667"/>
    <n v="289762"/>
    <n v="50625"/>
    <n v="210821"/>
    <n v="198"/>
    <n v="5062"/>
    <n v="5260"/>
  </r>
  <r>
    <d v="2012-12-05T00:00:00"/>
    <x v="3"/>
    <x v="1"/>
    <x v="11"/>
    <n v="0"/>
    <x v="3"/>
    <x v="1"/>
    <x v="1"/>
    <n v="438333"/>
    <n v="428012"/>
    <n v="485"/>
    <n v="324021"/>
    <n v="331"/>
    <n v="5398"/>
    <n v="5729"/>
  </r>
  <r>
    <d v="2012-12-12T00:00:00"/>
    <x v="3"/>
    <x v="1"/>
    <x v="11"/>
    <n v="0"/>
    <x v="3"/>
    <x v="1"/>
    <x v="0"/>
    <n v="2975"/>
    <n v="297338"/>
    <n v="538333"/>
    <n v="162937"/>
    <n v="310"/>
    <n v="5009"/>
    <n v="5319"/>
  </r>
  <r>
    <d v="2012-12-19T00:00:00"/>
    <x v="3"/>
    <x v="1"/>
    <x v="11"/>
    <n v="0"/>
    <x v="3"/>
    <x v="1"/>
    <x v="1"/>
    <n v="3325"/>
    <n v="342162"/>
    <n v="625417"/>
    <n v="184092"/>
    <n v="333"/>
    <n v="4934"/>
    <n v="5267"/>
  </r>
  <r>
    <d v="2012-12-26T00:00:00"/>
    <x v="0"/>
    <x v="1"/>
    <x v="11"/>
    <n v="0"/>
    <x v="3"/>
    <x v="1"/>
    <x v="2"/>
    <n v="243333"/>
    <n v="220333"/>
    <n v="823333"/>
    <n v="316546"/>
    <n v="9"/>
    <n v="432"/>
    <n v="441"/>
  </r>
  <r>
    <d v="2011-01-06T00:00:00"/>
    <x v="0"/>
    <x v="0"/>
    <x v="0"/>
    <n v="0"/>
    <x v="4"/>
    <x v="1"/>
    <x v="1"/>
    <n v="204348"/>
    <n v="233209"/>
    <n v="518261"/>
    <n v="895652"/>
    <n v="88"/>
    <n v="1518"/>
    <n v="1606"/>
  </r>
  <r>
    <d v="2011-01-13T00:00:00"/>
    <x v="0"/>
    <x v="0"/>
    <x v="0"/>
    <n v="0"/>
    <x v="4"/>
    <x v="1"/>
    <x v="1"/>
    <n v="165"/>
    <n v="150883"/>
    <n v="470417"/>
    <n v="301"/>
    <n v="38"/>
    <n v="1368"/>
    <n v="1406"/>
  </r>
  <r>
    <d v="2011-01-20T00:00:00"/>
    <x v="0"/>
    <x v="0"/>
    <x v="0"/>
    <n v="0"/>
    <x v="4"/>
    <x v="1"/>
    <x v="0"/>
    <n v="261667"/>
    <n v="25505"/>
    <n v="538333"/>
    <n v="195904"/>
    <n v="83"/>
    <n v="1844"/>
    <n v="1927"/>
  </r>
  <r>
    <d v="2011-01-27T00:00:00"/>
    <x v="0"/>
    <x v="0"/>
    <x v="0"/>
    <n v="0"/>
    <x v="4"/>
    <x v="1"/>
    <x v="1"/>
    <n v="195"/>
    <n v="2197"/>
    <n v="6875"/>
    <n v="113837"/>
    <n v="15"/>
    <n v="416"/>
    <n v="431"/>
  </r>
  <r>
    <d v="2011-02-03T00:00:00"/>
    <x v="0"/>
    <x v="0"/>
    <x v="1"/>
    <n v="0"/>
    <x v="4"/>
    <x v="1"/>
    <x v="1"/>
    <n v="186957"/>
    <n v="177878"/>
    <n v="437826"/>
    <n v="277752"/>
    <n v="61"/>
    <n v="1489"/>
    <n v="1550"/>
  </r>
  <r>
    <d v="2011-02-10T00:00:00"/>
    <x v="0"/>
    <x v="0"/>
    <x v="1"/>
    <n v="0"/>
    <x v="4"/>
    <x v="1"/>
    <x v="1"/>
    <n v="144348"/>
    <n v="149548"/>
    <n v="437391"/>
    <n v="221935"/>
    <n v="47"/>
    <n v="1491"/>
    <n v="1538"/>
  </r>
  <r>
    <d v="2011-02-17T00:00:00"/>
    <x v="0"/>
    <x v="0"/>
    <x v="1"/>
    <n v="0"/>
    <x v="4"/>
    <x v="1"/>
    <x v="1"/>
    <n v="435833"/>
    <n v="428658"/>
    <n v="505"/>
    <n v="230104"/>
    <n v="259"/>
    <n v="2216"/>
    <n v="2475"/>
  </r>
  <r>
    <d v="2011-02-24T00:00:00"/>
    <x v="0"/>
    <x v="0"/>
    <x v="1"/>
    <n v="0"/>
    <x v="4"/>
    <x v="1"/>
    <x v="0"/>
    <n v="295652"/>
    <n v="289191"/>
    <n v="697391"/>
    <n v="250496"/>
    <n v="100"/>
    <n v="1707"/>
    <n v="1807"/>
  </r>
  <r>
    <d v="2011-03-03T00:00:00"/>
    <x v="0"/>
    <x v="0"/>
    <x v="2"/>
    <n v="0"/>
    <x v="4"/>
    <x v="1"/>
    <x v="1"/>
    <n v="198333"/>
    <n v="200133"/>
    <n v="318333"/>
    <n v="225754"/>
    <n v="123"/>
    <n v="1562"/>
    <n v="1685"/>
  </r>
  <r>
    <d v="2011-03-10T00:00:00"/>
    <x v="0"/>
    <x v="0"/>
    <x v="2"/>
    <n v="0"/>
    <x v="4"/>
    <x v="1"/>
    <x v="2"/>
    <n v="389091"/>
    <n v="385668"/>
    <n v="0"/>
    <n v="261877"/>
    <n v="46"/>
    <n v="577"/>
    <n v="623"/>
  </r>
  <r>
    <d v="2011-03-17T00:00:00"/>
    <x v="0"/>
    <x v="0"/>
    <x v="2"/>
    <n v="0"/>
    <x v="4"/>
    <x v="1"/>
    <x v="1"/>
    <n v="415"/>
    <n v="410333"/>
    <n v="602917"/>
    <n v="209579"/>
    <n v="424"/>
    <n v="2320"/>
    <n v="2744"/>
  </r>
  <r>
    <d v="2011-03-24T00:00:00"/>
    <x v="1"/>
    <x v="0"/>
    <x v="2"/>
    <n v="0"/>
    <x v="4"/>
    <x v="1"/>
    <x v="0"/>
    <n v="285"/>
    <n v="270833"/>
    <n v="805833"/>
    <n v="243787"/>
    <n v="166"/>
    <n v="1699"/>
    <n v="1865"/>
  </r>
  <r>
    <d v="2011-03-31T00:00:00"/>
    <x v="1"/>
    <x v="0"/>
    <x v="2"/>
    <n v="0"/>
    <x v="4"/>
    <x v="1"/>
    <x v="2"/>
    <n v="268333"/>
    <n v="257575"/>
    <n v="918333"/>
    <n v="217646"/>
    <n v="179"/>
    <n v="1506"/>
    <n v="1685"/>
  </r>
  <r>
    <d v="2011-04-07T00:00:00"/>
    <x v="1"/>
    <x v="0"/>
    <x v="3"/>
    <n v="0"/>
    <x v="4"/>
    <x v="1"/>
    <x v="1"/>
    <n v="4375"/>
    <n v="433696"/>
    <n v="602917"/>
    <n v="162312"/>
    <n v="571"/>
    <n v="2570"/>
    <n v="3141"/>
  </r>
  <r>
    <d v="2011-04-14T00:00:00"/>
    <x v="1"/>
    <x v="0"/>
    <x v="3"/>
    <n v="0"/>
    <x v="4"/>
    <x v="1"/>
    <x v="1"/>
    <n v="4675"/>
    <n v="462742"/>
    <n v="540417"/>
    <n v="1107"/>
    <n v="529"/>
    <n v="2738"/>
    <n v="3267"/>
  </r>
  <r>
    <d v="2011-04-21T00:00:00"/>
    <x v="1"/>
    <x v="0"/>
    <x v="3"/>
    <n v="0"/>
    <x v="4"/>
    <x v="1"/>
    <x v="1"/>
    <n v="459167"/>
    <n v="453892"/>
    <n v="407083"/>
    <n v="325258"/>
    <n v="745"/>
    <n v="3444"/>
    <n v="4189"/>
  </r>
  <r>
    <d v="2011-04-28T00:00:00"/>
    <x v="1"/>
    <x v="0"/>
    <x v="3"/>
    <n v="0"/>
    <x v="4"/>
    <x v="1"/>
    <x v="0"/>
    <n v="6175"/>
    <n v="578929"/>
    <n v="700833"/>
    <n v="320908"/>
    <n v="569"/>
    <n v="3489"/>
    <n v="4058"/>
  </r>
  <r>
    <d v="2011-05-05T00:00:00"/>
    <x v="1"/>
    <x v="0"/>
    <x v="4"/>
    <n v="0"/>
    <x v="4"/>
    <x v="1"/>
    <x v="1"/>
    <n v="459167"/>
    <n v="441917"/>
    <n v="444167"/>
    <n v="295392"/>
    <n v="614"/>
    <n v="3819"/>
    <n v="4433"/>
  </r>
  <r>
    <d v="2011-05-12T00:00:00"/>
    <x v="1"/>
    <x v="0"/>
    <x v="4"/>
    <n v="0"/>
    <x v="4"/>
    <x v="1"/>
    <x v="1"/>
    <n v="535"/>
    <n v="523363"/>
    <n v="7475"/>
    <n v="189667"/>
    <n v="695"/>
    <n v="4169"/>
    <n v="4864"/>
  </r>
  <r>
    <d v="2011-05-19T00:00:00"/>
    <x v="1"/>
    <x v="0"/>
    <x v="4"/>
    <n v="0"/>
    <x v="4"/>
    <x v="1"/>
    <x v="0"/>
    <n v="530833"/>
    <n v="510742"/>
    <n v="829583"/>
    <n v="108213"/>
    <n v="735"/>
    <n v="3840"/>
    <n v="4575"/>
  </r>
  <r>
    <d v="2011-05-26T00:00:00"/>
    <x v="1"/>
    <x v="0"/>
    <x v="4"/>
    <n v="0"/>
    <x v="4"/>
    <x v="1"/>
    <x v="1"/>
    <n v="708333"/>
    <n v="654688"/>
    <n v="6775"/>
    <n v="199642"/>
    <n v="758"/>
    <n v="3919"/>
    <n v="4677"/>
  </r>
  <r>
    <d v="2011-06-02T00:00:00"/>
    <x v="1"/>
    <x v="0"/>
    <x v="5"/>
    <n v="0"/>
    <x v="4"/>
    <x v="1"/>
    <x v="1"/>
    <n v="715"/>
    <n v="643942"/>
    <n v="305"/>
    <n v="292287"/>
    <n v="736"/>
    <n v="4232"/>
    <n v="4968"/>
  </r>
  <r>
    <d v="2011-06-09T00:00:00"/>
    <x v="1"/>
    <x v="0"/>
    <x v="5"/>
    <n v="0"/>
    <x v="4"/>
    <x v="1"/>
    <x v="0"/>
    <n v="808333"/>
    <n v="757579"/>
    <n v="568333"/>
    <n v="149883"/>
    <n v="563"/>
    <n v="3352"/>
    <n v="3915"/>
  </r>
  <r>
    <d v="2011-06-16T00:00:00"/>
    <x v="1"/>
    <x v="0"/>
    <x v="5"/>
    <n v="0"/>
    <x v="4"/>
    <x v="1"/>
    <x v="0"/>
    <n v="628333"/>
    <n v="595346"/>
    <n v="688333"/>
    <n v="206471"/>
    <n v="545"/>
    <n v="3222"/>
    <n v="3767"/>
  </r>
  <r>
    <d v="2011-06-23T00:00:00"/>
    <x v="2"/>
    <x v="0"/>
    <x v="5"/>
    <n v="0"/>
    <x v="4"/>
    <x v="1"/>
    <x v="0"/>
    <n v="728333"/>
    <n v="693833"/>
    <n v="703333"/>
    <n v="238804"/>
    <n v="746"/>
    <n v="4044"/>
    <n v="4790"/>
  </r>
  <r>
    <d v="2011-06-30T00:00:00"/>
    <x v="2"/>
    <x v="0"/>
    <x v="5"/>
    <n v="0"/>
    <x v="4"/>
    <x v="1"/>
    <x v="1"/>
    <n v="696667"/>
    <n v="637008"/>
    <n v="434167"/>
    <n v="185312"/>
    <n v="1027"/>
    <n v="4488"/>
    <n v="5515"/>
  </r>
  <r>
    <d v="2011-07-07T00:00:00"/>
    <x v="2"/>
    <x v="0"/>
    <x v="6"/>
    <n v="0"/>
    <x v="4"/>
    <x v="1"/>
    <x v="1"/>
    <n v="75"/>
    <n v="686871"/>
    <n v="65125"/>
    <n v="1592"/>
    <n v="754"/>
    <n v="3838"/>
    <n v="4592"/>
  </r>
  <r>
    <d v="2011-07-14T00:00:00"/>
    <x v="2"/>
    <x v="0"/>
    <x v="6"/>
    <n v="0"/>
    <x v="4"/>
    <x v="1"/>
    <x v="1"/>
    <n v="680833"/>
    <n v="635104"/>
    <n v="47625"/>
    <n v="240667"/>
    <n v="888"/>
    <n v="4196"/>
    <n v="5084"/>
  </r>
  <r>
    <d v="2011-07-21T00:00:00"/>
    <x v="2"/>
    <x v="0"/>
    <x v="6"/>
    <n v="0"/>
    <x v="4"/>
    <x v="1"/>
    <x v="0"/>
    <n v="815"/>
    <n v="826371"/>
    <n v="69125"/>
    <n v="222021"/>
    <n v="632"/>
    <n v="3152"/>
    <n v="3784"/>
  </r>
  <r>
    <d v="2011-07-28T00:00:00"/>
    <x v="2"/>
    <x v="0"/>
    <x v="6"/>
    <n v="0"/>
    <x v="4"/>
    <x v="1"/>
    <x v="1"/>
    <n v="779167"/>
    <n v="7399"/>
    <n v="583333"/>
    <n v="178479"/>
    <n v="606"/>
    <n v="3784"/>
    <n v="4390"/>
  </r>
  <r>
    <d v="2011-08-04T00:00:00"/>
    <x v="2"/>
    <x v="0"/>
    <x v="7"/>
    <n v="0"/>
    <x v="4"/>
    <x v="1"/>
    <x v="0"/>
    <n v="71"/>
    <n v="664788"/>
    <n v="7575"/>
    <n v="19715"/>
    <n v="799"/>
    <n v="3777"/>
    <n v="4576"/>
  </r>
  <r>
    <d v="2011-08-11T00:00:00"/>
    <x v="2"/>
    <x v="0"/>
    <x v="7"/>
    <n v="0"/>
    <x v="4"/>
    <x v="1"/>
    <x v="1"/>
    <n v="7175"/>
    <n v="651521"/>
    <n v="42375"/>
    <n v="164796"/>
    <n v="812"/>
    <n v="3980"/>
    <n v="4792"/>
  </r>
  <r>
    <d v="2011-08-18T00:00:00"/>
    <x v="2"/>
    <x v="0"/>
    <x v="7"/>
    <n v="0"/>
    <x v="4"/>
    <x v="1"/>
    <x v="1"/>
    <n v="711667"/>
    <n v="662258"/>
    <n v="654583"/>
    <n v="233208"/>
    <n v="639"/>
    <n v="3166"/>
    <n v="3805"/>
  </r>
  <r>
    <d v="2011-08-25T00:00:00"/>
    <x v="2"/>
    <x v="0"/>
    <x v="7"/>
    <n v="0"/>
    <x v="4"/>
    <x v="1"/>
    <x v="0"/>
    <n v="684167"/>
    <n v="645854"/>
    <n v="771667"/>
    <n v="210833"/>
    <n v="435"/>
    <n v="3107"/>
    <n v="3542"/>
  </r>
  <r>
    <d v="2011-09-01T00:00:00"/>
    <x v="2"/>
    <x v="0"/>
    <x v="8"/>
    <n v="0"/>
    <x v="4"/>
    <x v="1"/>
    <x v="1"/>
    <n v="655"/>
    <n v="614921"/>
    <n v="639167"/>
    <n v="141796"/>
    <n v="783"/>
    <n v="4332"/>
    <n v="5115"/>
  </r>
  <r>
    <d v="2011-09-08T00:00:00"/>
    <x v="2"/>
    <x v="0"/>
    <x v="8"/>
    <n v="0"/>
    <x v="4"/>
    <x v="1"/>
    <x v="2"/>
    <n v="633913"/>
    <n v="555361"/>
    <n v="939565"/>
    <n v="192748"/>
    <n v="153"/>
    <n v="1689"/>
    <n v="1842"/>
  </r>
  <r>
    <d v="2011-09-15T00:00:00"/>
    <x v="2"/>
    <x v="0"/>
    <x v="8"/>
    <n v="0"/>
    <x v="4"/>
    <x v="1"/>
    <x v="0"/>
    <n v="5775"/>
    <n v="553671"/>
    <n v="709167"/>
    <n v="271146"/>
    <n v="428"/>
    <n v="3231"/>
    <n v="3659"/>
  </r>
  <r>
    <d v="2011-09-22T00:00:00"/>
    <x v="2"/>
    <x v="0"/>
    <x v="8"/>
    <n v="0"/>
    <x v="4"/>
    <x v="1"/>
    <x v="0"/>
    <n v="628333"/>
    <n v="554963"/>
    <n v="902083"/>
    <n v="128125"/>
    <n v="555"/>
    <n v="4240"/>
    <n v="4795"/>
  </r>
  <r>
    <d v="2011-09-29T00:00:00"/>
    <x v="3"/>
    <x v="0"/>
    <x v="8"/>
    <n v="0"/>
    <x v="4"/>
    <x v="1"/>
    <x v="1"/>
    <n v="616667"/>
    <n v="574512"/>
    <n v="699167"/>
    <n v="172883"/>
    <n v="653"/>
    <n v="4186"/>
    <n v="4839"/>
  </r>
  <r>
    <d v="2011-10-06T00:00:00"/>
    <x v="3"/>
    <x v="0"/>
    <x v="9"/>
    <n v="0"/>
    <x v="4"/>
    <x v="1"/>
    <x v="1"/>
    <n v="494167"/>
    <n v="480425"/>
    <n v="620833"/>
    <n v="134954"/>
    <n v="639"/>
    <n v="4126"/>
    <n v="4765"/>
  </r>
  <r>
    <d v="2011-10-13T00:00:00"/>
    <x v="3"/>
    <x v="0"/>
    <x v="9"/>
    <n v="0"/>
    <x v="4"/>
    <x v="1"/>
    <x v="0"/>
    <n v="589167"/>
    <n v="551804"/>
    <n v="896667"/>
    <n v="141787"/>
    <n v="290"/>
    <n v="2623"/>
    <n v="2913"/>
  </r>
  <r>
    <d v="2011-10-20T00:00:00"/>
    <x v="3"/>
    <x v="0"/>
    <x v="9"/>
    <n v="0"/>
    <x v="4"/>
    <x v="1"/>
    <x v="1"/>
    <n v="475833"/>
    <n v="466525"/>
    <n v="63625"/>
    <n v="422275"/>
    <n v="471"/>
    <n v="3724"/>
    <n v="4195"/>
  </r>
  <r>
    <d v="2011-10-27T00:00:00"/>
    <x v="3"/>
    <x v="0"/>
    <x v="9"/>
    <n v="0"/>
    <x v="4"/>
    <x v="1"/>
    <x v="0"/>
    <n v="47"/>
    <n v="457046"/>
    <n v="812917"/>
    <n v="197763"/>
    <n v="240"/>
    <n v="2419"/>
    <n v="2659"/>
  </r>
  <r>
    <d v="2011-11-03T00:00:00"/>
    <x v="3"/>
    <x v="0"/>
    <x v="10"/>
    <n v="0"/>
    <x v="4"/>
    <x v="1"/>
    <x v="1"/>
    <n v="408333"/>
    <n v="405921"/>
    <n v="702083"/>
    <n v="136817"/>
    <n v="318"/>
    <n v="3656"/>
    <n v="3974"/>
  </r>
  <r>
    <d v="2011-11-10T00:00:00"/>
    <x v="3"/>
    <x v="0"/>
    <x v="10"/>
    <n v="0"/>
    <x v="4"/>
    <x v="1"/>
    <x v="0"/>
    <n v="38"/>
    <n v="373721"/>
    <n v="813333"/>
    <n v="189067"/>
    <n v="190"/>
    <n v="2743"/>
    <n v="2933"/>
  </r>
  <r>
    <d v="2011-11-17T00:00:00"/>
    <x v="3"/>
    <x v="0"/>
    <x v="10"/>
    <n v="0"/>
    <x v="4"/>
    <x v="1"/>
    <x v="0"/>
    <n v="341667"/>
    <n v="323221"/>
    <n v="575833"/>
    <n v="305362"/>
    <n v="139"/>
    <n v="2914"/>
    <n v="3053"/>
  </r>
  <r>
    <d v="2011-11-24T00:00:00"/>
    <x v="3"/>
    <x v="0"/>
    <x v="10"/>
    <n v="1"/>
    <x v="4"/>
    <x v="0"/>
    <x v="1"/>
    <n v="373333"/>
    <n v="372471"/>
    <n v="549167"/>
    <n v="167304"/>
    <n v="560"/>
    <n v="935"/>
    <n v="1495"/>
  </r>
  <r>
    <d v="2011-12-01T00:00:00"/>
    <x v="3"/>
    <x v="0"/>
    <x v="11"/>
    <n v="0"/>
    <x v="4"/>
    <x v="1"/>
    <x v="1"/>
    <n v="3125"/>
    <n v="305554"/>
    <n v="524583"/>
    <n v="220158"/>
    <n v="182"/>
    <n v="3545"/>
    <n v="3727"/>
  </r>
  <r>
    <d v="2011-12-08T00:00:00"/>
    <x v="3"/>
    <x v="0"/>
    <x v="11"/>
    <n v="0"/>
    <x v="4"/>
    <x v="1"/>
    <x v="1"/>
    <n v="265833"/>
    <n v="256938"/>
    <n v="58"/>
    <n v="240058"/>
    <n v="150"/>
    <n v="3172"/>
    <n v="3322"/>
  </r>
  <r>
    <d v="2011-12-15T00:00:00"/>
    <x v="3"/>
    <x v="0"/>
    <x v="11"/>
    <n v="0"/>
    <x v="4"/>
    <x v="1"/>
    <x v="0"/>
    <n v="4225"/>
    <n v="412237"/>
    <n v="634167"/>
    <n v="268042"/>
    <n v="181"/>
    <n v="3528"/>
    <n v="3709"/>
  </r>
  <r>
    <d v="2011-12-22T00:00:00"/>
    <x v="0"/>
    <x v="0"/>
    <x v="11"/>
    <n v="0"/>
    <x v="4"/>
    <x v="1"/>
    <x v="0"/>
    <n v="423333"/>
    <n v="426121"/>
    <n v="7575"/>
    <n v="47275"/>
    <n v="227"/>
    <n v="2841"/>
    <n v="3068"/>
  </r>
  <r>
    <d v="2011-12-29T00:00:00"/>
    <x v="0"/>
    <x v="0"/>
    <x v="11"/>
    <n v="0"/>
    <x v="4"/>
    <x v="1"/>
    <x v="1"/>
    <n v="248333"/>
    <n v="263892"/>
    <n v="574167"/>
    <n v="119412"/>
    <n v="254"/>
    <n v="2169"/>
    <n v="2423"/>
  </r>
  <r>
    <d v="2012-01-05T00:00:00"/>
    <x v="0"/>
    <x v="1"/>
    <x v="0"/>
    <n v="0"/>
    <x v="4"/>
    <x v="1"/>
    <x v="1"/>
    <n v="265833"/>
    <n v="278412"/>
    <n v="524167"/>
    <n v="129987"/>
    <n v="140"/>
    <n v="3132"/>
    <n v="3272"/>
  </r>
  <r>
    <d v="2012-01-12T00:00:00"/>
    <x v="0"/>
    <x v="1"/>
    <x v="0"/>
    <n v="0"/>
    <x v="4"/>
    <x v="1"/>
    <x v="0"/>
    <n v="3825"/>
    <n v="381938"/>
    <n v="802917"/>
    <n v="180967"/>
    <n v="269"/>
    <n v="3828"/>
    <n v="4097"/>
  </r>
  <r>
    <d v="2012-01-19T00:00:00"/>
    <x v="0"/>
    <x v="1"/>
    <x v="0"/>
    <n v="0"/>
    <x v="4"/>
    <x v="1"/>
    <x v="1"/>
    <n v="19"/>
    <n v="190038"/>
    <n v="4975"/>
    <n v="220158"/>
    <n v="130"/>
    <n v="3162"/>
    <n v="3292"/>
  </r>
  <r>
    <d v="2012-01-26T00:00:00"/>
    <x v="0"/>
    <x v="1"/>
    <x v="0"/>
    <n v="0"/>
    <x v="4"/>
    <x v="1"/>
    <x v="0"/>
    <n v="341667"/>
    <n v="35605"/>
    <n v="769583"/>
    <n v="733958"/>
    <n v="244"/>
    <n v="3831"/>
    <n v="4075"/>
  </r>
  <r>
    <d v="2012-02-02T00:00:00"/>
    <x v="0"/>
    <x v="1"/>
    <x v="1"/>
    <n v="0"/>
    <x v="4"/>
    <x v="1"/>
    <x v="0"/>
    <n v="399167"/>
    <n v="398971"/>
    <n v="672917"/>
    <n v="187187"/>
    <n v="190"/>
    <n v="3571"/>
    <n v="3761"/>
  </r>
  <r>
    <d v="2012-02-09T00:00:00"/>
    <x v="0"/>
    <x v="1"/>
    <x v="1"/>
    <n v="0"/>
    <x v="4"/>
    <x v="1"/>
    <x v="1"/>
    <n v="265"/>
    <n v="261988"/>
    <n v="562083"/>
    <n v="194037"/>
    <n v="163"/>
    <n v="3667"/>
    <n v="3830"/>
  </r>
  <r>
    <d v="2012-02-16T00:00:00"/>
    <x v="0"/>
    <x v="1"/>
    <x v="1"/>
    <n v="0"/>
    <x v="4"/>
    <x v="1"/>
    <x v="0"/>
    <n v="316667"/>
    <n v="330162"/>
    <n v="752917"/>
    <n v="91425"/>
    <n v="74"/>
    <n v="2931"/>
    <n v="3005"/>
  </r>
  <r>
    <d v="2012-02-23T00:00:00"/>
    <x v="0"/>
    <x v="1"/>
    <x v="1"/>
    <n v="0"/>
    <x v="4"/>
    <x v="1"/>
    <x v="1"/>
    <n v="454167"/>
    <n v="444446"/>
    <n v="554583"/>
    <n v="190913"/>
    <n v="516"/>
    <n v="4546"/>
    <n v="5062"/>
  </r>
  <r>
    <d v="2012-03-01T00:00:00"/>
    <x v="0"/>
    <x v="1"/>
    <x v="2"/>
    <n v="0"/>
    <x v="4"/>
    <x v="1"/>
    <x v="1"/>
    <n v="485833"/>
    <n v="475371"/>
    <n v="615417"/>
    <n v="226987"/>
    <n v="325"/>
    <n v="4665"/>
    <n v="4990"/>
  </r>
  <r>
    <d v="2012-03-08T00:00:00"/>
    <x v="0"/>
    <x v="1"/>
    <x v="2"/>
    <n v="0"/>
    <x v="4"/>
    <x v="1"/>
    <x v="1"/>
    <n v="5275"/>
    <n v="524604"/>
    <n v="5675"/>
    <n v="441563"/>
    <n v="486"/>
    <n v="4896"/>
    <n v="5382"/>
  </r>
  <r>
    <d v="2012-03-15T00:00:00"/>
    <x v="0"/>
    <x v="1"/>
    <x v="2"/>
    <n v="0"/>
    <x v="4"/>
    <x v="1"/>
    <x v="1"/>
    <n v="5575"/>
    <n v="532825"/>
    <n v="579583"/>
    <n v="149883"/>
    <n v="1005"/>
    <n v="5187"/>
    <n v="6192"/>
  </r>
  <r>
    <d v="2012-03-22T00:00:00"/>
    <x v="1"/>
    <x v="1"/>
    <x v="2"/>
    <n v="0"/>
    <x v="4"/>
    <x v="1"/>
    <x v="1"/>
    <n v="554167"/>
    <n v="531567"/>
    <n v="83125"/>
    <n v="117562"/>
    <n v="1334"/>
    <n v="5537"/>
    <n v="6871"/>
  </r>
  <r>
    <d v="2012-03-29T00:00:00"/>
    <x v="1"/>
    <x v="1"/>
    <x v="2"/>
    <n v="0"/>
    <x v="4"/>
    <x v="1"/>
    <x v="1"/>
    <n v="494167"/>
    <n v="482304"/>
    <n v="439167"/>
    <n v="31965"/>
    <n v="834"/>
    <n v="5299"/>
    <n v="6133"/>
  </r>
  <r>
    <d v="2012-04-05T00:00:00"/>
    <x v="1"/>
    <x v="1"/>
    <x v="3"/>
    <n v="0"/>
    <x v="4"/>
    <x v="1"/>
    <x v="1"/>
    <n v="435"/>
    <n v="431163"/>
    <n v="374167"/>
    <n v="219529"/>
    <n v="1192"/>
    <n v="5265"/>
    <n v="6457"/>
  </r>
  <r>
    <d v="2012-04-12T00:00:00"/>
    <x v="1"/>
    <x v="1"/>
    <x v="3"/>
    <n v="0"/>
    <x v="4"/>
    <x v="1"/>
    <x v="1"/>
    <n v="3975"/>
    <n v="387604"/>
    <n v="46625"/>
    <n v="290429"/>
    <n v="663"/>
    <n v="4746"/>
    <n v="5409"/>
  </r>
  <r>
    <d v="2012-04-19T00:00:00"/>
    <x v="1"/>
    <x v="1"/>
    <x v="3"/>
    <n v="0"/>
    <x v="4"/>
    <x v="1"/>
    <x v="1"/>
    <n v="498333"/>
    <n v="493046"/>
    <n v="6125"/>
    <n v="659292"/>
    <n v="846"/>
    <n v="5719"/>
    <n v="6565"/>
  </r>
  <r>
    <d v="2012-04-26T00:00:00"/>
    <x v="1"/>
    <x v="1"/>
    <x v="3"/>
    <n v="0"/>
    <x v="4"/>
    <x v="1"/>
    <x v="0"/>
    <n v="498333"/>
    <n v="483583"/>
    <n v="756667"/>
    <n v="176625"/>
    <n v="475"/>
    <n v="4551"/>
    <n v="5026"/>
  </r>
  <r>
    <d v="2012-05-03T00:00:00"/>
    <x v="1"/>
    <x v="1"/>
    <x v="4"/>
    <n v="0"/>
    <x v="4"/>
    <x v="1"/>
    <x v="0"/>
    <n v="56"/>
    <n v="537242"/>
    <n v="768333"/>
    <n v="133696"/>
    <n v="764"/>
    <n v="5657"/>
    <n v="6421"/>
  </r>
  <r>
    <d v="2012-05-10T00:00:00"/>
    <x v="1"/>
    <x v="1"/>
    <x v="4"/>
    <n v="0"/>
    <x v="4"/>
    <x v="1"/>
    <x v="1"/>
    <n v="505833"/>
    <n v="491783"/>
    <n v="552083"/>
    <n v="314063"/>
    <n v="1026"/>
    <n v="5546"/>
    <n v="6572"/>
  </r>
  <r>
    <d v="2012-05-17T00:00:00"/>
    <x v="1"/>
    <x v="1"/>
    <x v="4"/>
    <n v="0"/>
    <x v="4"/>
    <x v="1"/>
    <x v="1"/>
    <n v="593333"/>
    <n v="572613"/>
    <n v="52"/>
    <n v="229475"/>
    <n v="1242"/>
    <n v="6142"/>
    <n v="7384"/>
  </r>
  <r>
    <d v="2012-05-24T00:00:00"/>
    <x v="1"/>
    <x v="1"/>
    <x v="4"/>
    <n v="0"/>
    <x v="4"/>
    <x v="1"/>
    <x v="1"/>
    <n v="655"/>
    <n v="6067"/>
    <n v="716667"/>
    <n v="172896"/>
    <n v="1059"/>
    <n v="5711"/>
    <n v="6770"/>
  </r>
  <r>
    <d v="2012-05-31T00:00:00"/>
    <x v="1"/>
    <x v="1"/>
    <x v="4"/>
    <n v="0"/>
    <x v="4"/>
    <x v="1"/>
    <x v="1"/>
    <n v="68"/>
    <n v="631329"/>
    <n v="492917"/>
    <n v="195279"/>
    <n v="1100"/>
    <n v="6238"/>
    <n v="7338"/>
  </r>
  <r>
    <d v="2012-06-07T00:00:00"/>
    <x v="1"/>
    <x v="1"/>
    <x v="5"/>
    <n v="0"/>
    <x v="4"/>
    <x v="1"/>
    <x v="1"/>
    <n v="6025"/>
    <n v="569442"/>
    <n v="567083"/>
    <n v="15735"/>
    <n v="1038"/>
    <n v="6456"/>
    <n v="7494"/>
  </r>
  <r>
    <d v="2012-06-14T00:00:00"/>
    <x v="1"/>
    <x v="1"/>
    <x v="5"/>
    <n v="0"/>
    <x v="4"/>
    <x v="1"/>
    <x v="1"/>
    <n v="648333"/>
    <n v="624383"/>
    <n v="569583"/>
    <n v="253733"/>
    <n v="1180"/>
    <n v="6183"/>
    <n v="7363"/>
  </r>
  <r>
    <d v="2012-06-21T00:00:00"/>
    <x v="2"/>
    <x v="1"/>
    <x v="5"/>
    <n v="0"/>
    <x v="4"/>
    <x v="1"/>
    <x v="1"/>
    <n v="805833"/>
    <n v="752542"/>
    <n v="567917"/>
    <n v="118787"/>
    <n v="778"/>
    <n v="5127"/>
    <n v="5905"/>
  </r>
  <r>
    <d v="2012-06-28T00:00:00"/>
    <x v="2"/>
    <x v="1"/>
    <x v="5"/>
    <n v="0"/>
    <x v="4"/>
    <x v="1"/>
    <x v="1"/>
    <n v="749167"/>
    <n v="675512"/>
    <n v="4225"/>
    <n v="17165"/>
    <n v="921"/>
    <n v="5958"/>
    <n v="6879"/>
  </r>
  <r>
    <d v="2012-07-05T00:00:00"/>
    <x v="2"/>
    <x v="1"/>
    <x v="6"/>
    <n v="0"/>
    <x v="4"/>
    <x v="1"/>
    <x v="1"/>
    <n v="8275"/>
    <n v="761367"/>
    <n v="457917"/>
    <n v="194029"/>
    <n v="1405"/>
    <n v="4836"/>
    <n v="6241"/>
  </r>
  <r>
    <d v="2012-07-12T00:00:00"/>
    <x v="2"/>
    <x v="1"/>
    <x v="6"/>
    <n v="0"/>
    <x v="4"/>
    <x v="1"/>
    <x v="1"/>
    <n v="715833"/>
    <n v="654683"/>
    <n v="529583"/>
    <n v="146775"/>
    <n v="1032"/>
    <n v="6414"/>
    <n v="7446"/>
  </r>
  <r>
    <d v="2012-07-19T00:00:00"/>
    <x v="2"/>
    <x v="1"/>
    <x v="6"/>
    <n v="0"/>
    <x v="4"/>
    <x v="1"/>
    <x v="1"/>
    <n v="77"/>
    <n v="714642"/>
    <n v="600417"/>
    <n v="165429"/>
    <n v="888"/>
    <n v="5703"/>
    <n v="6591"/>
  </r>
  <r>
    <d v="2012-07-26T00:00:00"/>
    <x v="2"/>
    <x v="1"/>
    <x v="6"/>
    <n v="0"/>
    <x v="4"/>
    <x v="1"/>
    <x v="1"/>
    <n v="776667"/>
    <n v="739263"/>
    <n v="596667"/>
    <n v="284813"/>
    <n v="1036"/>
    <n v="5825"/>
    <n v="6861"/>
  </r>
  <r>
    <d v="2012-08-02T00:00:00"/>
    <x v="2"/>
    <x v="1"/>
    <x v="7"/>
    <n v="0"/>
    <x v="4"/>
    <x v="1"/>
    <x v="1"/>
    <n v="7525"/>
    <n v="707088"/>
    <n v="659583"/>
    <n v="129354"/>
    <n v="983"/>
    <n v="6278"/>
    <n v="7261"/>
  </r>
  <r>
    <d v="2012-08-09T00:00:00"/>
    <x v="2"/>
    <x v="1"/>
    <x v="7"/>
    <n v="0"/>
    <x v="4"/>
    <x v="1"/>
    <x v="1"/>
    <n v="755833"/>
    <n v="699508"/>
    <n v="620417"/>
    <n v="1561"/>
    <n v="1196"/>
    <n v="6090"/>
    <n v="7286"/>
  </r>
  <r>
    <d v="2012-08-16T00:00:00"/>
    <x v="2"/>
    <x v="1"/>
    <x v="7"/>
    <n v="0"/>
    <x v="4"/>
    <x v="1"/>
    <x v="1"/>
    <n v="719167"/>
    <n v="654688"/>
    <n v="519167"/>
    <n v="141796"/>
    <n v="1338"/>
    <n v="6267"/>
    <n v="7605"/>
  </r>
  <r>
    <d v="2012-08-23T00:00:00"/>
    <x v="2"/>
    <x v="1"/>
    <x v="7"/>
    <n v="0"/>
    <x v="4"/>
    <x v="1"/>
    <x v="1"/>
    <n v="695833"/>
    <n v="637008"/>
    <n v="635833"/>
    <n v="845958"/>
    <n v="1363"/>
    <n v="6402"/>
    <n v="7765"/>
  </r>
  <r>
    <d v="2012-08-30T00:00:00"/>
    <x v="2"/>
    <x v="1"/>
    <x v="7"/>
    <n v="0"/>
    <x v="4"/>
    <x v="1"/>
    <x v="1"/>
    <n v="706667"/>
    <n v="652779"/>
    <n v="590417"/>
    <n v="771167"/>
    <n v="1172"/>
    <n v="6541"/>
    <n v="7713"/>
  </r>
  <r>
    <d v="2012-09-06T00:00:00"/>
    <x v="2"/>
    <x v="1"/>
    <x v="8"/>
    <n v="0"/>
    <x v="4"/>
    <x v="1"/>
    <x v="0"/>
    <n v="696667"/>
    <n v="655329"/>
    <n v="810417"/>
    <n v="142421"/>
    <n v="611"/>
    <n v="5592"/>
    <n v="6203"/>
  </r>
  <r>
    <d v="2012-09-13T00:00:00"/>
    <x v="2"/>
    <x v="1"/>
    <x v="8"/>
    <n v="0"/>
    <x v="4"/>
    <x v="1"/>
    <x v="1"/>
    <n v="6125"/>
    <n v="579558"/>
    <n v="637083"/>
    <n v="827208"/>
    <n v="1054"/>
    <n v="6750"/>
    <n v="7804"/>
  </r>
  <r>
    <d v="2012-09-20T00:00:00"/>
    <x v="2"/>
    <x v="1"/>
    <x v="8"/>
    <n v="0"/>
    <x v="4"/>
    <x v="1"/>
    <x v="1"/>
    <n v="546667"/>
    <n v="532192"/>
    <n v="618333"/>
    <n v="118167"/>
    <n v="939"/>
    <n v="6781"/>
    <n v="7720"/>
  </r>
  <r>
    <d v="2012-09-27T00:00:00"/>
    <x v="3"/>
    <x v="1"/>
    <x v="8"/>
    <n v="0"/>
    <x v="4"/>
    <x v="1"/>
    <x v="0"/>
    <n v="65"/>
    <n v="607975"/>
    <n v="690833"/>
    <n v="134342"/>
    <n v="751"/>
    <n v="6642"/>
    <n v="7393"/>
  </r>
  <r>
    <d v="2012-10-04T00:00:00"/>
    <x v="3"/>
    <x v="1"/>
    <x v="9"/>
    <n v="0"/>
    <x v="4"/>
    <x v="1"/>
    <x v="0"/>
    <n v="6575"/>
    <n v="607975"/>
    <n v="722917"/>
    <n v="117546"/>
    <n v="891"/>
    <n v="6437"/>
    <n v="7328"/>
  </r>
  <r>
    <d v="2012-10-11T00:00:00"/>
    <x v="3"/>
    <x v="1"/>
    <x v="9"/>
    <n v="0"/>
    <x v="4"/>
    <x v="1"/>
    <x v="1"/>
    <n v="435"/>
    <n v="431167"/>
    <n v="463333"/>
    <n v="181596"/>
    <n v="834"/>
    <n v="6736"/>
    <n v="7570"/>
  </r>
  <r>
    <d v="2012-10-18T00:00:00"/>
    <x v="3"/>
    <x v="1"/>
    <x v="9"/>
    <n v="0"/>
    <x v="4"/>
    <x v="1"/>
    <x v="0"/>
    <n v="5225"/>
    <n v="512625"/>
    <n v="728333"/>
    <n v="236937"/>
    <n v="1008"/>
    <n v="6501"/>
    <n v="7509"/>
  </r>
  <r>
    <d v="2012-10-25T00:00:00"/>
    <x v="3"/>
    <x v="1"/>
    <x v="9"/>
    <n v="0"/>
    <x v="4"/>
    <x v="1"/>
    <x v="0"/>
    <n v="55"/>
    <n v="529688"/>
    <n v="800417"/>
    <n v="124375"/>
    <n v="875"/>
    <n v="6484"/>
    <n v="7359"/>
  </r>
  <r>
    <d v="2012-11-01T00:00:00"/>
    <x v="3"/>
    <x v="1"/>
    <x v="10"/>
    <n v="0"/>
    <x v="4"/>
    <x v="1"/>
    <x v="0"/>
    <n v="365833"/>
    <n v="369942"/>
    <n v="581667"/>
    <n v="157346"/>
    <n v="466"/>
    <n v="5520"/>
    <n v="5986"/>
  </r>
  <r>
    <d v="2012-11-08T00:00:00"/>
    <x v="3"/>
    <x v="1"/>
    <x v="10"/>
    <n v="0"/>
    <x v="4"/>
    <x v="1"/>
    <x v="1"/>
    <n v="352174"/>
    <n v="341891"/>
    <n v="333478"/>
    <n v="347835"/>
    <n v="340"/>
    <n v="4975"/>
    <n v="5315"/>
  </r>
  <r>
    <d v="2012-11-15T00:00:00"/>
    <x v="3"/>
    <x v="1"/>
    <x v="10"/>
    <n v="0"/>
    <x v="4"/>
    <x v="1"/>
    <x v="0"/>
    <n v="321667"/>
    <n v="324492"/>
    <n v="620417"/>
    <n v="152987"/>
    <n v="320"/>
    <n v="5125"/>
    <n v="5445"/>
  </r>
  <r>
    <d v="2012-11-22T00:00:00"/>
    <x v="3"/>
    <x v="1"/>
    <x v="10"/>
    <n v="1"/>
    <x v="4"/>
    <x v="0"/>
    <x v="1"/>
    <n v="34"/>
    <n v="350371"/>
    <n v="580417"/>
    <n v="528708"/>
    <n v="955"/>
    <n v="1470"/>
    <n v="2425"/>
  </r>
  <r>
    <d v="2012-11-29T00:00:00"/>
    <x v="3"/>
    <x v="1"/>
    <x v="10"/>
    <n v="0"/>
    <x v="4"/>
    <x v="1"/>
    <x v="1"/>
    <n v="28087"/>
    <n v="298422"/>
    <n v="555652"/>
    <n v="115522"/>
    <n v="243"/>
    <n v="5080"/>
    <n v="5323"/>
  </r>
  <r>
    <d v="2012-12-06T00:00:00"/>
    <x v="3"/>
    <x v="1"/>
    <x v="11"/>
    <n v="0"/>
    <x v="4"/>
    <x v="1"/>
    <x v="1"/>
    <n v="255833"/>
    <n v="258204"/>
    <n v="50875"/>
    <n v="174754"/>
    <n v="340"/>
    <n v="5035"/>
    <n v="5375"/>
  </r>
  <r>
    <d v="2012-12-13T00:00:00"/>
    <x v="3"/>
    <x v="1"/>
    <x v="11"/>
    <n v="0"/>
    <x v="4"/>
    <x v="1"/>
    <x v="1"/>
    <n v="295833"/>
    <n v="294188"/>
    <n v="485833"/>
    <n v="174129"/>
    <n v="425"/>
    <n v="5107"/>
    <n v="5532"/>
  </r>
  <r>
    <d v="2012-12-20T00:00:00"/>
    <x v="3"/>
    <x v="1"/>
    <x v="11"/>
    <n v="0"/>
    <x v="4"/>
    <x v="1"/>
    <x v="0"/>
    <n v="33"/>
    <n v="335217"/>
    <n v="667917"/>
    <n v="132463"/>
    <n v="314"/>
    <n v="3814"/>
    <n v="4128"/>
  </r>
  <r>
    <d v="2012-12-27T00:00:00"/>
    <x v="0"/>
    <x v="1"/>
    <x v="11"/>
    <n v="0"/>
    <x v="4"/>
    <x v="1"/>
    <x v="0"/>
    <n v="254167"/>
    <n v="226642"/>
    <n v="652917"/>
    <n v="350133"/>
    <n v="247"/>
    <n v="1867"/>
    <n v="2114"/>
  </r>
  <r>
    <d v="2011-01-07T00:00:00"/>
    <x v="0"/>
    <x v="0"/>
    <x v="0"/>
    <n v="0"/>
    <x v="5"/>
    <x v="1"/>
    <x v="0"/>
    <n v="196522"/>
    <n v="208839"/>
    <n v="498696"/>
    <n v="168726"/>
    <n v="148"/>
    <n v="1362"/>
    <n v="1510"/>
  </r>
  <r>
    <d v="2011-01-14T00:00:00"/>
    <x v="0"/>
    <x v="0"/>
    <x v="0"/>
    <n v="0"/>
    <x v="5"/>
    <x v="1"/>
    <x v="1"/>
    <n v="16087"/>
    <n v="188413"/>
    <n v="537826"/>
    <n v="126548"/>
    <n v="54"/>
    <n v="1367"/>
    <n v="1421"/>
  </r>
  <r>
    <d v="2011-01-21T00:00:00"/>
    <x v="0"/>
    <x v="0"/>
    <x v="0"/>
    <n v="0"/>
    <x v="5"/>
    <x v="1"/>
    <x v="1"/>
    <n v="1775"/>
    <n v="157833"/>
    <n v="457083"/>
    <n v="353242"/>
    <n v="75"/>
    <n v="1468"/>
    <n v="1543"/>
  </r>
  <r>
    <d v="2011-01-28T00:00:00"/>
    <x v="0"/>
    <x v="0"/>
    <x v="0"/>
    <n v="0"/>
    <x v="5"/>
    <x v="1"/>
    <x v="0"/>
    <n v="203478"/>
    <n v="223317"/>
    <n v="793043"/>
    <n v="1233"/>
    <n v="38"/>
    <n v="1129"/>
    <n v="1167"/>
  </r>
  <r>
    <d v="2011-02-04T00:00:00"/>
    <x v="0"/>
    <x v="0"/>
    <x v="1"/>
    <n v="0"/>
    <x v="5"/>
    <x v="1"/>
    <x v="0"/>
    <n v="211304"/>
    <n v="228587"/>
    <n v="585217"/>
    <n v="127839"/>
    <n v="88"/>
    <n v="1620"/>
    <n v="1708"/>
  </r>
  <r>
    <d v="2011-02-11T00:00:00"/>
    <x v="0"/>
    <x v="0"/>
    <x v="1"/>
    <n v="0"/>
    <x v="5"/>
    <x v="1"/>
    <x v="1"/>
    <n v="189091"/>
    <n v="213509"/>
    <n v="506364"/>
    <n v="10855"/>
    <n v="149"/>
    <n v="1597"/>
    <n v="1746"/>
  </r>
  <r>
    <d v="2011-02-18T00:00:00"/>
    <x v="0"/>
    <x v="0"/>
    <x v="1"/>
    <n v="0"/>
    <x v="5"/>
    <x v="1"/>
    <x v="1"/>
    <n v="521667"/>
    <n v="511983"/>
    <n v="516667"/>
    <n v="264925"/>
    <n v="579"/>
    <n v="2348"/>
    <n v="2927"/>
  </r>
  <r>
    <d v="2011-02-25T00:00:00"/>
    <x v="0"/>
    <x v="0"/>
    <x v="1"/>
    <n v="0"/>
    <x v="5"/>
    <x v="1"/>
    <x v="0"/>
    <n v="364348"/>
    <n v="350461"/>
    <n v="712174"/>
    <n v="346539"/>
    <n v="120"/>
    <n v="1341"/>
    <n v="1461"/>
  </r>
  <r>
    <d v="2011-03-04T00:00:00"/>
    <x v="0"/>
    <x v="0"/>
    <x v="2"/>
    <n v="0"/>
    <x v="5"/>
    <x v="1"/>
    <x v="0"/>
    <n v="261667"/>
    <n v="255679"/>
    <n v="610417"/>
    <n v="203346"/>
    <n v="214"/>
    <n v="1730"/>
    <n v="1944"/>
  </r>
  <r>
    <d v="2011-03-11T00:00:00"/>
    <x v="0"/>
    <x v="0"/>
    <x v="2"/>
    <n v="0"/>
    <x v="5"/>
    <x v="1"/>
    <x v="0"/>
    <n v="316522"/>
    <n v="305"/>
    <n v="649565"/>
    <n v="23297"/>
    <n v="247"/>
    <n v="1730"/>
    <n v="1977"/>
  </r>
  <r>
    <d v="2011-03-18T00:00:00"/>
    <x v="0"/>
    <x v="0"/>
    <x v="2"/>
    <n v="0"/>
    <x v="5"/>
    <x v="1"/>
    <x v="1"/>
    <n v="54"/>
    <n v="527009"/>
    <n v="525217"/>
    <n v="231017"/>
    <n v="884"/>
    <n v="2355"/>
    <n v="3239"/>
  </r>
  <r>
    <d v="2011-03-25T00:00:00"/>
    <x v="1"/>
    <x v="0"/>
    <x v="2"/>
    <n v="0"/>
    <x v="5"/>
    <x v="1"/>
    <x v="1"/>
    <n v="264167"/>
    <n v="256312"/>
    <n v="495"/>
    <n v="230725"/>
    <n v="300"/>
    <n v="1910"/>
    <n v="2210"/>
  </r>
  <r>
    <d v="2011-04-01T00:00:00"/>
    <x v="1"/>
    <x v="0"/>
    <x v="3"/>
    <n v="0"/>
    <x v="5"/>
    <x v="1"/>
    <x v="0"/>
    <n v="3"/>
    <n v="283454"/>
    <n v="68625"/>
    <n v="258708"/>
    <n v="307"/>
    <n v="1920"/>
    <n v="2227"/>
  </r>
  <r>
    <d v="2011-04-08T00:00:00"/>
    <x v="1"/>
    <x v="0"/>
    <x v="3"/>
    <n v="0"/>
    <x v="5"/>
    <x v="1"/>
    <x v="0"/>
    <n v="335833"/>
    <n v="324479"/>
    <n v="83625"/>
    <n v="226992"/>
    <n v="172"/>
    <n v="1299"/>
    <n v="1471"/>
  </r>
  <r>
    <d v="2011-04-15T00:00:00"/>
    <x v="1"/>
    <x v="0"/>
    <x v="3"/>
    <n v="1"/>
    <x v="5"/>
    <x v="0"/>
    <x v="1"/>
    <n v="446667"/>
    <n v="441913"/>
    <n v="67125"/>
    <n v="226375"/>
    <n v="642"/>
    <n v="2484"/>
    <n v="3126"/>
  </r>
  <r>
    <d v="2011-04-22T00:00:00"/>
    <x v="1"/>
    <x v="0"/>
    <x v="3"/>
    <n v="0"/>
    <x v="5"/>
    <x v="1"/>
    <x v="0"/>
    <n v="336667"/>
    <n v="321954"/>
    <n v="729583"/>
    <n v="219521"/>
    <n v="177"/>
    <n v="1506"/>
    <n v="1683"/>
  </r>
  <r>
    <d v="2011-04-29T00:00:00"/>
    <x v="1"/>
    <x v="0"/>
    <x v="3"/>
    <n v="0"/>
    <x v="5"/>
    <x v="1"/>
    <x v="1"/>
    <n v="51"/>
    <n v="497463"/>
    <n v="457083"/>
    <n v="240063"/>
    <n v="878"/>
    <n v="3717"/>
    <n v="4595"/>
  </r>
  <r>
    <d v="2011-05-06T00:00:00"/>
    <x v="1"/>
    <x v="0"/>
    <x v="4"/>
    <n v="0"/>
    <x v="5"/>
    <x v="1"/>
    <x v="1"/>
    <n v="479167"/>
    <n v="474117"/>
    <n v="59"/>
    <n v="228246"/>
    <n v="894"/>
    <n v="3714"/>
    <n v="4608"/>
  </r>
  <r>
    <d v="2011-05-13T00:00:00"/>
    <x v="1"/>
    <x v="0"/>
    <x v="4"/>
    <n v="0"/>
    <x v="5"/>
    <x v="1"/>
    <x v="0"/>
    <n v="5125"/>
    <n v="4943"/>
    <n v="863333"/>
    <n v="179725"/>
    <n v="692"/>
    <n v="3413"/>
    <n v="4105"/>
  </r>
  <r>
    <d v="2011-05-20T00:00:00"/>
    <x v="1"/>
    <x v="0"/>
    <x v="4"/>
    <n v="0"/>
    <x v="5"/>
    <x v="1"/>
    <x v="1"/>
    <n v="536667"/>
    <n v="529042"/>
    <n v="719583"/>
    <n v="125013"/>
    <n v="909"/>
    <n v="4008"/>
    <n v="4917"/>
  </r>
  <r>
    <d v="2011-05-27T00:00:00"/>
    <x v="1"/>
    <x v="0"/>
    <x v="4"/>
    <n v="0"/>
    <x v="5"/>
    <x v="1"/>
    <x v="1"/>
    <n v="681667"/>
    <n v="637008"/>
    <n v="65375"/>
    <n v="240679"/>
    <n v="871"/>
    <n v="3808"/>
    <n v="4679"/>
  </r>
  <r>
    <d v="2011-06-03T00:00:00"/>
    <x v="1"/>
    <x v="0"/>
    <x v="5"/>
    <n v="0"/>
    <x v="5"/>
    <x v="1"/>
    <x v="1"/>
    <n v="62"/>
    <n v="587133"/>
    <n v="354167"/>
    <n v="253121"/>
    <n v="898"/>
    <n v="4414"/>
    <n v="5312"/>
  </r>
  <r>
    <d v="2011-06-10T00:00:00"/>
    <x v="1"/>
    <x v="0"/>
    <x v="5"/>
    <n v="0"/>
    <x v="5"/>
    <x v="1"/>
    <x v="1"/>
    <n v="755"/>
    <n v="703292"/>
    <n v="605"/>
    <n v="140554"/>
    <n v="815"/>
    <n v="3771"/>
    <n v="4586"/>
  </r>
  <r>
    <d v="2011-06-17T00:00:00"/>
    <x v="1"/>
    <x v="0"/>
    <x v="5"/>
    <n v="0"/>
    <x v="5"/>
    <x v="1"/>
    <x v="1"/>
    <n v="649167"/>
    <n v="600383"/>
    <n v="735833"/>
    <n v="143029"/>
    <n v="863"/>
    <n v="3981"/>
    <n v="4844"/>
  </r>
  <r>
    <d v="2011-06-24T00:00:00"/>
    <x v="2"/>
    <x v="0"/>
    <x v="5"/>
    <n v="0"/>
    <x v="5"/>
    <x v="1"/>
    <x v="1"/>
    <n v="724167"/>
    <n v="656583"/>
    <n v="573333"/>
    <n v="222025"/>
    <n v="969"/>
    <n v="4022"/>
    <n v="4991"/>
  </r>
  <r>
    <d v="2011-07-01T00:00:00"/>
    <x v="2"/>
    <x v="0"/>
    <x v="6"/>
    <n v="0"/>
    <x v="5"/>
    <x v="1"/>
    <x v="1"/>
    <n v="7225"/>
    <n v="652162"/>
    <n v="39625"/>
    <n v="102608"/>
    <n v="1246"/>
    <n v="4116"/>
    <n v="5362"/>
  </r>
  <r>
    <d v="2011-07-08T00:00:00"/>
    <x v="2"/>
    <x v="0"/>
    <x v="6"/>
    <n v="0"/>
    <x v="5"/>
    <x v="1"/>
    <x v="0"/>
    <n v="709167"/>
    <n v="670483"/>
    <n v="757917"/>
    <n v="225129"/>
    <n v="692"/>
    <n v="3348"/>
    <n v="4040"/>
  </r>
  <r>
    <d v="2011-07-15T00:00:00"/>
    <x v="2"/>
    <x v="0"/>
    <x v="6"/>
    <n v="0"/>
    <x v="5"/>
    <x v="1"/>
    <x v="1"/>
    <n v="663333"/>
    <n v="624371"/>
    <n v="59125"/>
    <n v="182833"/>
    <n v="1318"/>
    <n v="4220"/>
    <n v="5538"/>
  </r>
  <r>
    <d v="2011-07-22T00:00:00"/>
    <x v="2"/>
    <x v="0"/>
    <x v="6"/>
    <n v="0"/>
    <x v="5"/>
    <x v="1"/>
    <x v="1"/>
    <n v="848333"/>
    <n v="840896"/>
    <n v="580417"/>
    <n v="1331"/>
    <n v="562"/>
    <n v="2825"/>
    <n v="3387"/>
  </r>
  <r>
    <d v="2011-07-29T00:00:00"/>
    <x v="2"/>
    <x v="0"/>
    <x v="6"/>
    <n v="0"/>
    <x v="5"/>
    <x v="1"/>
    <x v="1"/>
    <n v="838333"/>
    <n v="785967"/>
    <n v="5425"/>
    <n v="174138"/>
    <n v="670"/>
    <n v="3176"/>
    <n v="3846"/>
  </r>
  <r>
    <d v="2011-08-05T00:00:00"/>
    <x v="2"/>
    <x v="0"/>
    <x v="7"/>
    <n v="0"/>
    <x v="5"/>
    <x v="1"/>
    <x v="1"/>
    <n v="710833"/>
    <n v="656567"/>
    <n v="630833"/>
    <n v="184696"/>
    <n v="1023"/>
    <n v="3843"/>
    <n v="4866"/>
  </r>
  <r>
    <d v="2011-08-12T00:00:00"/>
    <x v="2"/>
    <x v="0"/>
    <x v="7"/>
    <n v="0"/>
    <x v="5"/>
    <x v="1"/>
    <x v="1"/>
    <n v="708333"/>
    <n v="654042"/>
    <n v="415"/>
    <n v="125621"/>
    <n v="1051"/>
    <n v="3854"/>
    <n v="4905"/>
  </r>
  <r>
    <d v="2011-08-19T00:00:00"/>
    <x v="2"/>
    <x v="0"/>
    <x v="7"/>
    <n v="0"/>
    <x v="5"/>
    <x v="1"/>
    <x v="0"/>
    <n v="685"/>
    <n v="633221"/>
    <n v="722917"/>
    <n v="139308"/>
    <n v="797"/>
    <n v="3356"/>
    <n v="4153"/>
  </r>
  <r>
    <d v="2011-08-26T00:00:00"/>
    <x v="2"/>
    <x v="0"/>
    <x v="7"/>
    <n v="0"/>
    <x v="5"/>
    <x v="1"/>
    <x v="1"/>
    <n v="7"/>
    <n v="659733"/>
    <n v="76125"/>
    <n v="839625"/>
    <n v="768"/>
    <n v="3893"/>
    <n v="4661"/>
  </r>
  <r>
    <d v="2011-09-02T00:00:00"/>
    <x v="2"/>
    <x v="0"/>
    <x v="8"/>
    <n v="0"/>
    <x v="5"/>
    <x v="1"/>
    <x v="0"/>
    <n v="643333"/>
    <n v="604808"/>
    <n v="727083"/>
    <n v="139929"/>
    <n v="875"/>
    <n v="3852"/>
    <n v="4727"/>
  </r>
  <r>
    <d v="2011-09-09T00:00:00"/>
    <x v="2"/>
    <x v="0"/>
    <x v="8"/>
    <n v="0"/>
    <x v="5"/>
    <x v="1"/>
    <x v="0"/>
    <n v="65"/>
    <n v="578946"/>
    <n v="897917"/>
    <n v="124379"/>
    <n v="417"/>
    <n v="3127"/>
    <n v="3544"/>
  </r>
  <r>
    <d v="2011-09-16T00:00:00"/>
    <x v="2"/>
    <x v="0"/>
    <x v="8"/>
    <n v="0"/>
    <x v="5"/>
    <x v="1"/>
    <x v="0"/>
    <n v="469167"/>
    <n v="461475"/>
    <n v="590417"/>
    <n v="164183"/>
    <n v="742"/>
    <n v="4018"/>
    <n v="4760"/>
  </r>
  <r>
    <d v="2011-09-23T00:00:00"/>
    <x v="3"/>
    <x v="0"/>
    <x v="8"/>
    <n v="0"/>
    <x v="5"/>
    <x v="1"/>
    <x v="0"/>
    <n v="609167"/>
    <n v="522125"/>
    <n v="9725"/>
    <n v="783667"/>
    <n v="258"/>
    <n v="2137"/>
    <n v="2395"/>
  </r>
  <r>
    <d v="2011-09-30T00:00:00"/>
    <x v="3"/>
    <x v="0"/>
    <x v="8"/>
    <n v="0"/>
    <x v="5"/>
    <x v="1"/>
    <x v="1"/>
    <n v="564167"/>
    <n v="544829"/>
    <n v="6475"/>
    <n v="206475"/>
    <n v="830"/>
    <n v="4372"/>
    <n v="5202"/>
  </r>
  <r>
    <d v="2011-10-07T00:00:00"/>
    <x v="3"/>
    <x v="0"/>
    <x v="9"/>
    <n v="0"/>
    <x v="5"/>
    <x v="1"/>
    <x v="1"/>
    <n v="510833"/>
    <n v="504404"/>
    <n v="684167"/>
    <n v="223917"/>
    <n v="949"/>
    <n v="4036"/>
    <n v="4985"/>
  </r>
  <r>
    <d v="2011-10-14T00:00:00"/>
    <x v="3"/>
    <x v="0"/>
    <x v="9"/>
    <n v="0"/>
    <x v="5"/>
    <x v="1"/>
    <x v="0"/>
    <n v="550833"/>
    <n v="529675"/>
    <n v="71625"/>
    <n v="223883"/>
    <n v="529"/>
    <n v="3115"/>
    <n v="3644"/>
  </r>
  <r>
    <d v="2011-10-21T00:00:00"/>
    <x v="3"/>
    <x v="0"/>
    <x v="9"/>
    <n v="0"/>
    <x v="5"/>
    <x v="1"/>
    <x v="1"/>
    <n v="4275"/>
    <n v="423596"/>
    <n v="574167"/>
    <n v="221396"/>
    <n v="676"/>
    <n v="3628"/>
    <n v="4304"/>
  </r>
  <r>
    <d v="2011-10-28T00:00:00"/>
    <x v="3"/>
    <x v="0"/>
    <x v="9"/>
    <n v="0"/>
    <x v="5"/>
    <x v="1"/>
    <x v="0"/>
    <n v="330833"/>
    <n v="318812"/>
    <n v="585833"/>
    <n v="229479"/>
    <n v="456"/>
    <n v="3291"/>
    <n v="3747"/>
  </r>
  <r>
    <d v="2011-11-04T00:00:00"/>
    <x v="3"/>
    <x v="0"/>
    <x v="10"/>
    <n v="0"/>
    <x v="5"/>
    <x v="1"/>
    <x v="0"/>
    <n v="403333"/>
    <n v="403392"/>
    <n v="6225"/>
    <n v="271779"/>
    <n v="470"/>
    <n v="3576"/>
    <n v="4046"/>
  </r>
  <r>
    <d v="2011-11-11T00:00:00"/>
    <x v="3"/>
    <x v="0"/>
    <x v="10"/>
    <n v="1"/>
    <x v="5"/>
    <x v="0"/>
    <x v="1"/>
    <n v="324167"/>
    <n v="306817"/>
    <n v="44625"/>
    <n v="314675"/>
    <n v="440"/>
    <n v="2928"/>
    <n v="3368"/>
  </r>
  <r>
    <d v="2011-11-18T00:00:00"/>
    <x v="3"/>
    <x v="0"/>
    <x v="10"/>
    <n v="0"/>
    <x v="5"/>
    <x v="1"/>
    <x v="1"/>
    <n v="274167"/>
    <n v="272721"/>
    <n v="41"/>
    <n v="168533"/>
    <n v="245"/>
    <n v="3147"/>
    <n v="3392"/>
  </r>
  <r>
    <d v="2011-11-25T00:00:00"/>
    <x v="3"/>
    <x v="0"/>
    <x v="10"/>
    <n v="0"/>
    <x v="5"/>
    <x v="1"/>
    <x v="1"/>
    <n v="375"/>
    <n v="380671"/>
    <n v="64375"/>
    <n v="988958"/>
    <n v="1095"/>
    <n v="1697"/>
    <n v="2792"/>
  </r>
  <r>
    <d v="2011-12-02T00:00:00"/>
    <x v="3"/>
    <x v="0"/>
    <x v="11"/>
    <n v="0"/>
    <x v="5"/>
    <x v="1"/>
    <x v="1"/>
    <n v="314167"/>
    <n v="331433"/>
    <n v="625833"/>
    <n v="100754"/>
    <n v="268"/>
    <n v="3672"/>
    <n v="3940"/>
  </r>
  <r>
    <d v="2011-12-09T00:00:00"/>
    <x v="3"/>
    <x v="0"/>
    <x v="11"/>
    <n v="0"/>
    <x v="5"/>
    <x v="1"/>
    <x v="1"/>
    <n v="290833"/>
    <n v="317542"/>
    <n v="695833"/>
    <n v="827167"/>
    <n v="261"/>
    <n v="3359"/>
    <n v="3620"/>
  </r>
  <r>
    <d v="2011-12-16T00:00:00"/>
    <x v="3"/>
    <x v="0"/>
    <x v="11"/>
    <n v="0"/>
    <x v="5"/>
    <x v="1"/>
    <x v="0"/>
    <n v="375"/>
    <n v="359825"/>
    <n v="500417"/>
    <n v="260575"/>
    <n v="178"/>
    <n v="3399"/>
    <n v="3577"/>
  </r>
  <r>
    <d v="2011-12-23T00:00:00"/>
    <x v="0"/>
    <x v="0"/>
    <x v="11"/>
    <n v="0"/>
    <x v="5"/>
    <x v="1"/>
    <x v="1"/>
    <n v="373333"/>
    <n v="377513"/>
    <n v="68625"/>
    <n v="274246"/>
    <n v="163"/>
    <n v="2046"/>
    <n v="2209"/>
  </r>
  <r>
    <d v="2011-12-30T00:00:00"/>
    <x v="0"/>
    <x v="0"/>
    <x v="11"/>
    <n v="0"/>
    <x v="5"/>
    <x v="1"/>
    <x v="1"/>
    <n v="311667"/>
    <n v="318812"/>
    <n v="636667"/>
    <n v="134337"/>
    <n v="491"/>
    <n v="2508"/>
    <n v="2999"/>
  </r>
  <r>
    <d v="2012-01-06T00:00:00"/>
    <x v="0"/>
    <x v="1"/>
    <x v="0"/>
    <n v="0"/>
    <x v="5"/>
    <x v="1"/>
    <x v="1"/>
    <n v="334167"/>
    <n v="340267"/>
    <n v="542083"/>
    <n v="167908"/>
    <n v="307"/>
    <n v="3791"/>
    <n v="4098"/>
  </r>
  <r>
    <d v="2012-01-13T00:00:00"/>
    <x v="0"/>
    <x v="1"/>
    <x v="0"/>
    <n v="0"/>
    <x v="5"/>
    <x v="1"/>
    <x v="1"/>
    <n v="274167"/>
    <n v="249362"/>
    <n v="5075"/>
    <n v="378108"/>
    <n v="174"/>
    <n v="3040"/>
    <n v="3214"/>
  </r>
  <r>
    <d v="2012-01-20T00:00:00"/>
    <x v="0"/>
    <x v="1"/>
    <x v="0"/>
    <n v="0"/>
    <x v="5"/>
    <x v="1"/>
    <x v="0"/>
    <n v="2175"/>
    <n v="220958"/>
    <n v="45"/>
    <n v="20275"/>
    <n v="115"/>
    <n v="3048"/>
    <n v="3163"/>
  </r>
  <r>
    <d v="2012-01-27T00:00:00"/>
    <x v="0"/>
    <x v="1"/>
    <x v="0"/>
    <n v="0"/>
    <x v="5"/>
    <x v="1"/>
    <x v="0"/>
    <n v="425"/>
    <n v="415383"/>
    <n v="74125"/>
    <n v="342667"/>
    <n v="269"/>
    <n v="3187"/>
    <n v="3456"/>
  </r>
  <r>
    <d v="2012-02-03T00:00:00"/>
    <x v="0"/>
    <x v="1"/>
    <x v="1"/>
    <n v="0"/>
    <x v="5"/>
    <x v="1"/>
    <x v="1"/>
    <n v="313333"/>
    <n v="309346"/>
    <n v="526667"/>
    <n v="178496"/>
    <n v="310"/>
    <n v="3841"/>
    <n v="4151"/>
  </r>
  <r>
    <d v="2012-02-10T00:00:00"/>
    <x v="0"/>
    <x v="1"/>
    <x v="1"/>
    <n v="0"/>
    <x v="5"/>
    <x v="1"/>
    <x v="0"/>
    <n v="280833"/>
    <n v="293558"/>
    <n v="54"/>
    <n v="116929"/>
    <n v="227"/>
    <n v="3604"/>
    <n v="3831"/>
  </r>
  <r>
    <d v="2012-02-17T00:00:00"/>
    <x v="0"/>
    <x v="1"/>
    <x v="1"/>
    <n v="0"/>
    <x v="5"/>
    <x v="1"/>
    <x v="1"/>
    <n v="343333"/>
    <n v="351629"/>
    <n v="634583"/>
    <n v="205846"/>
    <n v="349"/>
    <n v="3805"/>
    <n v="4154"/>
  </r>
  <r>
    <d v="2012-02-24T00:00:00"/>
    <x v="0"/>
    <x v="1"/>
    <x v="1"/>
    <n v="0"/>
    <x v="5"/>
    <x v="1"/>
    <x v="0"/>
    <n v="4075"/>
    <n v="410971"/>
    <n v="7375"/>
    <n v="237567"/>
    <n v="246"/>
    <n v="3241"/>
    <n v="3487"/>
  </r>
  <r>
    <d v="2012-03-02T00:00:00"/>
    <x v="0"/>
    <x v="1"/>
    <x v="2"/>
    <n v="0"/>
    <x v="5"/>
    <x v="1"/>
    <x v="0"/>
    <n v="353333"/>
    <n v="359842"/>
    <n v="657083"/>
    <n v="144904"/>
    <n v="246"/>
    <n v="2948"/>
    <n v="3194"/>
  </r>
  <r>
    <d v="2012-03-09T00:00:00"/>
    <x v="0"/>
    <x v="1"/>
    <x v="2"/>
    <n v="0"/>
    <x v="5"/>
    <x v="1"/>
    <x v="0"/>
    <n v="410833"/>
    <n v="397083"/>
    <n v="407083"/>
    <n v="4148"/>
    <n v="447"/>
    <n v="4122"/>
    <n v="4569"/>
  </r>
  <r>
    <d v="2012-03-16T00:00:00"/>
    <x v="0"/>
    <x v="1"/>
    <x v="2"/>
    <n v="0"/>
    <x v="5"/>
    <x v="1"/>
    <x v="0"/>
    <n v="435833"/>
    <n v="436229"/>
    <n v="842083"/>
    <n v="113192"/>
    <n v="548"/>
    <n v="3830"/>
    <n v="4378"/>
  </r>
  <r>
    <d v="2012-03-23T00:00:00"/>
    <x v="1"/>
    <x v="1"/>
    <x v="2"/>
    <n v="0"/>
    <x v="5"/>
    <x v="1"/>
    <x v="0"/>
    <n v="601667"/>
    <n v="570067"/>
    <n v="694167"/>
    <n v="1163"/>
    <n v="2469"/>
    <n v="5893"/>
    <n v="8362"/>
  </r>
  <r>
    <d v="2012-03-30T00:00:00"/>
    <x v="1"/>
    <x v="1"/>
    <x v="2"/>
    <n v="0"/>
    <x v="5"/>
    <x v="1"/>
    <x v="0"/>
    <n v="37"/>
    <n v="375621"/>
    <n v="580833"/>
    <n v="138067"/>
    <n v="796"/>
    <n v="4663"/>
    <n v="5459"/>
  </r>
  <r>
    <d v="2012-04-06T00:00:00"/>
    <x v="1"/>
    <x v="1"/>
    <x v="3"/>
    <n v="0"/>
    <x v="5"/>
    <x v="1"/>
    <x v="1"/>
    <n v="403333"/>
    <n v="390767"/>
    <n v="377083"/>
    <n v="300388"/>
    <n v="1807"/>
    <n v="4653"/>
    <n v="6460"/>
  </r>
  <r>
    <d v="2012-04-13T00:00:00"/>
    <x v="1"/>
    <x v="1"/>
    <x v="3"/>
    <n v="0"/>
    <x v="5"/>
    <x v="1"/>
    <x v="1"/>
    <n v="4425"/>
    <n v="431808"/>
    <n v="408333"/>
    <n v="155471"/>
    <n v="1252"/>
    <n v="5146"/>
    <n v="6398"/>
  </r>
  <r>
    <d v="2012-04-20T00:00:00"/>
    <x v="1"/>
    <x v="1"/>
    <x v="3"/>
    <n v="0"/>
    <x v="5"/>
    <x v="1"/>
    <x v="1"/>
    <n v="526667"/>
    <n v="515775"/>
    <n v="694583"/>
    <n v="149871"/>
    <n v="1340"/>
    <n v="5950"/>
    <n v="7290"/>
  </r>
  <r>
    <d v="2012-04-27T00:00:00"/>
    <x v="1"/>
    <x v="1"/>
    <x v="3"/>
    <n v="0"/>
    <x v="5"/>
    <x v="1"/>
    <x v="1"/>
    <n v="4575"/>
    <n v="452637"/>
    <n v="400833"/>
    <n v="347633"/>
    <n v="1014"/>
    <n v="5219"/>
    <n v="6233"/>
  </r>
  <r>
    <d v="2012-05-04T00:00:00"/>
    <x v="1"/>
    <x v="1"/>
    <x v="4"/>
    <n v="0"/>
    <x v="5"/>
    <x v="1"/>
    <x v="1"/>
    <n v="6275"/>
    <n v="590917"/>
    <n v="735417"/>
    <n v="162938"/>
    <n v="1069"/>
    <n v="5227"/>
    <n v="6296"/>
  </r>
  <r>
    <d v="2012-05-11T00:00:00"/>
    <x v="1"/>
    <x v="1"/>
    <x v="4"/>
    <n v="0"/>
    <x v="5"/>
    <x v="1"/>
    <x v="1"/>
    <n v="533333"/>
    <n v="520833"/>
    <n v="360417"/>
    <n v="236937"/>
    <n v="1319"/>
    <n v="5711"/>
    <n v="7030"/>
  </r>
  <r>
    <d v="2012-05-18T00:00:00"/>
    <x v="1"/>
    <x v="1"/>
    <x v="4"/>
    <n v="0"/>
    <x v="5"/>
    <x v="1"/>
    <x v="1"/>
    <n v="564167"/>
    <n v="551121"/>
    <n v="523333"/>
    <n v="136817"/>
    <n v="1521"/>
    <n v="6118"/>
    <n v="7639"/>
  </r>
  <r>
    <d v="2012-05-25T00:00:00"/>
    <x v="1"/>
    <x v="1"/>
    <x v="4"/>
    <n v="0"/>
    <x v="5"/>
    <x v="1"/>
    <x v="1"/>
    <n v="68"/>
    <n v="627529"/>
    <n v="747083"/>
    <n v="14055"/>
    <n v="1417"/>
    <n v="5317"/>
    <n v="6734"/>
  </r>
  <r>
    <d v="2012-06-01T00:00:00"/>
    <x v="1"/>
    <x v="1"/>
    <x v="5"/>
    <n v="0"/>
    <x v="5"/>
    <x v="1"/>
    <x v="0"/>
    <n v="654167"/>
    <n v="607962"/>
    <n v="755417"/>
    <n v="237563"/>
    <n v="533"/>
    <n v="3594"/>
    <n v="4127"/>
  </r>
  <r>
    <d v="2012-06-08T00:00:00"/>
    <x v="1"/>
    <x v="1"/>
    <x v="5"/>
    <n v="0"/>
    <x v="5"/>
    <x v="1"/>
    <x v="1"/>
    <n v="649167"/>
    <n v="597862"/>
    <n v="467917"/>
    <n v="175383"/>
    <n v="1488"/>
    <n v="6248"/>
    <n v="7736"/>
  </r>
  <r>
    <d v="2012-06-15T00:00:00"/>
    <x v="1"/>
    <x v="1"/>
    <x v="5"/>
    <n v="0"/>
    <x v="5"/>
    <x v="1"/>
    <x v="1"/>
    <n v="639167"/>
    <n v="599754"/>
    <n v="589583"/>
    <n v="176617"/>
    <n v="1563"/>
    <n v="6102"/>
    <n v="7665"/>
  </r>
  <r>
    <d v="2012-06-22T00:00:00"/>
    <x v="2"/>
    <x v="1"/>
    <x v="5"/>
    <n v="0"/>
    <x v="5"/>
    <x v="1"/>
    <x v="1"/>
    <n v="7775"/>
    <n v="724121"/>
    <n v="57375"/>
    <n v="182842"/>
    <n v="964"/>
    <n v="4859"/>
    <n v="5823"/>
  </r>
  <r>
    <d v="2012-06-29T00:00:00"/>
    <x v="2"/>
    <x v="1"/>
    <x v="5"/>
    <n v="0"/>
    <x v="5"/>
    <x v="1"/>
    <x v="1"/>
    <n v="834167"/>
    <n v="786613"/>
    <n v="48875"/>
    <n v="165417"/>
    <n v="829"/>
    <n v="4634"/>
    <n v="5463"/>
  </r>
  <r>
    <d v="2012-07-06T00:00:00"/>
    <x v="2"/>
    <x v="1"/>
    <x v="6"/>
    <n v="0"/>
    <x v="5"/>
    <x v="1"/>
    <x v="1"/>
    <n v="828333"/>
    <n v="752533"/>
    <n v="450833"/>
    <n v="146142"/>
    <n v="1366"/>
    <n v="4841"/>
    <n v="6207"/>
  </r>
  <r>
    <d v="2012-07-13T00:00:00"/>
    <x v="2"/>
    <x v="1"/>
    <x v="6"/>
    <n v="0"/>
    <x v="5"/>
    <x v="1"/>
    <x v="0"/>
    <n v="731667"/>
    <n v="667933"/>
    <n v="485833"/>
    <n v="8085"/>
    <n v="1511"/>
    <n v="5988"/>
    <n v="7499"/>
  </r>
  <r>
    <d v="2012-07-20T00:00:00"/>
    <x v="2"/>
    <x v="1"/>
    <x v="6"/>
    <n v="0"/>
    <x v="5"/>
    <x v="1"/>
    <x v="0"/>
    <n v="665833"/>
    <n v="613025"/>
    <n v="844167"/>
    <n v="208967"/>
    <n v="747"/>
    <n v="5123"/>
    <n v="5870"/>
  </r>
  <r>
    <d v="2012-07-27T00:00:00"/>
    <x v="2"/>
    <x v="1"/>
    <x v="6"/>
    <n v="0"/>
    <x v="5"/>
    <x v="1"/>
    <x v="1"/>
    <n v="781667"/>
    <n v="734217"/>
    <n v="594583"/>
    <n v="152992"/>
    <n v="1259"/>
    <n v="5645"/>
    <n v="6904"/>
  </r>
  <r>
    <d v="2012-08-03T00:00:00"/>
    <x v="2"/>
    <x v="1"/>
    <x v="7"/>
    <n v="0"/>
    <x v="5"/>
    <x v="1"/>
    <x v="0"/>
    <n v="765833"/>
    <n v="722867"/>
    <n v="6425"/>
    <n v="215792"/>
    <n v="1328"/>
    <n v="5847"/>
    <n v="7175"/>
  </r>
  <r>
    <d v="2012-08-10T00:00:00"/>
    <x v="2"/>
    <x v="1"/>
    <x v="7"/>
    <n v="0"/>
    <x v="5"/>
    <x v="1"/>
    <x v="0"/>
    <n v="715833"/>
    <n v="667942"/>
    <n v="715833"/>
    <n v="238813"/>
    <n v="1065"/>
    <n v="4721"/>
    <n v="5786"/>
  </r>
  <r>
    <d v="2012-08-17T00:00:00"/>
    <x v="2"/>
    <x v="1"/>
    <x v="7"/>
    <n v="0"/>
    <x v="5"/>
    <x v="1"/>
    <x v="1"/>
    <n v="723333"/>
    <n v="2424"/>
    <n v="570833"/>
    <n v="231354"/>
    <n v="1483"/>
    <n v="5665"/>
    <n v="7148"/>
  </r>
  <r>
    <d v="2012-08-24T00:00:00"/>
    <x v="2"/>
    <x v="1"/>
    <x v="7"/>
    <n v="0"/>
    <x v="5"/>
    <x v="1"/>
    <x v="0"/>
    <n v="7025"/>
    <n v="6471"/>
    <n v="615"/>
    <n v="721458"/>
    <n v="1325"/>
    <n v="6257"/>
    <n v="7582"/>
  </r>
  <r>
    <d v="2012-08-31T00:00:00"/>
    <x v="2"/>
    <x v="1"/>
    <x v="7"/>
    <n v="0"/>
    <x v="5"/>
    <x v="1"/>
    <x v="1"/>
    <n v="764167"/>
    <n v="6894"/>
    <n v="5875"/>
    <n v="168533"/>
    <n v="1433"/>
    <n v="5917"/>
    <n v="7350"/>
  </r>
  <r>
    <d v="2012-09-07T00:00:00"/>
    <x v="2"/>
    <x v="1"/>
    <x v="8"/>
    <n v="0"/>
    <x v="5"/>
    <x v="1"/>
    <x v="1"/>
    <n v="703333"/>
    <n v="657204"/>
    <n v="73625"/>
    <n v="171646"/>
    <n v="1045"/>
    <n v="6459"/>
    <n v="7504"/>
  </r>
  <r>
    <d v="2012-09-14T00:00:00"/>
    <x v="2"/>
    <x v="1"/>
    <x v="8"/>
    <n v="0"/>
    <x v="5"/>
    <x v="1"/>
    <x v="1"/>
    <n v="633333"/>
    <n v="594083"/>
    <n v="6725"/>
    <n v="103863"/>
    <n v="1379"/>
    <n v="6630"/>
    <n v="8009"/>
  </r>
  <r>
    <d v="2012-09-21T00:00:00"/>
    <x v="2"/>
    <x v="1"/>
    <x v="8"/>
    <n v="0"/>
    <x v="5"/>
    <x v="1"/>
    <x v="1"/>
    <n v="599167"/>
    <n v="571971"/>
    <n v="66875"/>
    <n v="154229"/>
    <n v="1250"/>
    <n v="6917"/>
    <n v="8167"/>
  </r>
  <r>
    <d v="2012-09-28T00:00:00"/>
    <x v="3"/>
    <x v="1"/>
    <x v="8"/>
    <n v="0"/>
    <x v="5"/>
    <x v="1"/>
    <x v="0"/>
    <n v="619167"/>
    <n v="585863"/>
    <n v="69"/>
    <n v="164179"/>
    <n v="1045"/>
    <n v="6370"/>
    <n v="7415"/>
  </r>
  <r>
    <d v="2012-10-05T00:00:00"/>
    <x v="3"/>
    <x v="1"/>
    <x v="9"/>
    <n v="0"/>
    <x v="5"/>
    <x v="1"/>
    <x v="1"/>
    <n v="615"/>
    <n v="580187"/>
    <n v="6275"/>
    <n v="10635"/>
    <n v="1516"/>
    <n v="6640"/>
    <n v="8156"/>
  </r>
  <r>
    <d v="2012-10-12T00:00:00"/>
    <x v="3"/>
    <x v="1"/>
    <x v="9"/>
    <n v="0"/>
    <x v="5"/>
    <x v="1"/>
    <x v="1"/>
    <n v="4375"/>
    <n v="433071"/>
    <n v="539167"/>
    <n v="235092"/>
    <n v="1060"/>
    <n v="6222"/>
    <n v="7282"/>
  </r>
  <r>
    <d v="2012-10-19T00:00:00"/>
    <x v="3"/>
    <x v="1"/>
    <x v="9"/>
    <n v="0"/>
    <x v="5"/>
    <x v="1"/>
    <x v="0"/>
    <n v="563333"/>
    <n v="537896"/>
    <n v="815"/>
    <n v="134954"/>
    <n v="753"/>
    <n v="4671"/>
    <n v="5424"/>
  </r>
  <r>
    <d v="2012-10-26T00:00:00"/>
    <x v="3"/>
    <x v="1"/>
    <x v="9"/>
    <n v="0"/>
    <x v="5"/>
    <x v="1"/>
    <x v="0"/>
    <n v="545833"/>
    <n v="52275"/>
    <n v="807083"/>
    <n v="132467"/>
    <n v="1182"/>
    <n v="6262"/>
    <n v="7444"/>
  </r>
  <r>
    <d v="2012-11-02T00:00:00"/>
    <x v="3"/>
    <x v="1"/>
    <x v="10"/>
    <n v="0"/>
    <x v="5"/>
    <x v="1"/>
    <x v="1"/>
    <n v="355"/>
    <n v="356042"/>
    <n v="522083"/>
    <n v="266175"/>
    <n v="618"/>
    <n v="5229"/>
    <n v="5847"/>
  </r>
  <r>
    <d v="2012-11-09T00:00:00"/>
    <x v="3"/>
    <x v="1"/>
    <x v="10"/>
    <n v="0"/>
    <x v="5"/>
    <x v="1"/>
    <x v="1"/>
    <n v="361667"/>
    <n v="355413"/>
    <n v="540833"/>
    <n v="214558"/>
    <n v="709"/>
    <n v="5283"/>
    <n v="5992"/>
  </r>
  <r>
    <d v="2012-11-16T00:00:00"/>
    <x v="3"/>
    <x v="1"/>
    <x v="10"/>
    <n v="0"/>
    <x v="5"/>
    <x v="1"/>
    <x v="1"/>
    <n v="345"/>
    <n v="347204"/>
    <n v="524583"/>
    <n v="171025"/>
    <n v="484"/>
    <n v="5214"/>
    <n v="5698"/>
  </r>
  <r>
    <d v="2012-11-23T00:00:00"/>
    <x v="3"/>
    <x v="1"/>
    <x v="10"/>
    <n v="0"/>
    <x v="5"/>
    <x v="1"/>
    <x v="1"/>
    <n v="368333"/>
    <n v="378779"/>
    <n v="56875"/>
    <n v="148021"/>
    <n v="1603"/>
    <n v="2307"/>
    <n v="3910"/>
  </r>
  <r>
    <d v="2012-11-30T00:00:00"/>
    <x v="3"/>
    <x v="1"/>
    <x v="10"/>
    <n v="0"/>
    <x v="5"/>
    <x v="1"/>
    <x v="1"/>
    <n v="298333"/>
    <n v="323867"/>
    <n v="649583"/>
    <n v="584708"/>
    <n v="362"/>
    <n v="5306"/>
    <n v="5668"/>
  </r>
  <r>
    <d v="2012-12-07T00:00:00"/>
    <x v="3"/>
    <x v="1"/>
    <x v="11"/>
    <n v="0"/>
    <x v="5"/>
    <x v="1"/>
    <x v="0"/>
    <n v="320833"/>
    <n v="321958"/>
    <n v="764167"/>
    <n v="1306"/>
    <n v="349"/>
    <n v="4659"/>
    <n v="5008"/>
  </r>
  <r>
    <d v="2012-12-14T00:00:00"/>
    <x v="3"/>
    <x v="1"/>
    <x v="11"/>
    <n v="0"/>
    <x v="5"/>
    <x v="1"/>
    <x v="1"/>
    <n v="281667"/>
    <n v="294192"/>
    <n v="642917"/>
    <n v="131229"/>
    <n v="429"/>
    <n v="5182"/>
    <n v="5611"/>
  </r>
  <r>
    <d v="2012-12-21T00:00:00"/>
    <x v="0"/>
    <x v="1"/>
    <x v="11"/>
    <n v="0"/>
    <x v="5"/>
    <x v="1"/>
    <x v="0"/>
    <n v="326667"/>
    <n v="301767"/>
    <n v="556667"/>
    <n v="374383"/>
    <n v="221"/>
    <n v="3402"/>
    <n v="3623"/>
  </r>
  <r>
    <d v="2012-12-28T00:00:00"/>
    <x v="0"/>
    <x v="1"/>
    <x v="11"/>
    <n v="0"/>
    <x v="5"/>
    <x v="1"/>
    <x v="0"/>
    <n v="253333"/>
    <n v="255046"/>
    <n v="59"/>
    <n v="155471"/>
    <n v="644"/>
    <n v="2451"/>
    <n v="3095"/>
  </r>
  <r>
    <d v="2011-01-01T00:00:00"/>
    <x v="0"/>
    <x v="0"/>
    <x v="0"/>
    <n v="0"/>
    <x v="6"/>
    <x v="0"/>
    <x v="0"/>
    <n v="344167"/>
    <n v="363625"/>
    <n v="805833"/>
    <n v="160446"/>
    <n v="331"/>
    <n v="654"/>
    <n v="985"/>
  </r>
  <r>
    <d v="2011-01-08T00:00:00"/>
    <x v="0"/>
    <x v="0"/>
    <x v="0"/>
    <n v="0"/>
    <x v="6"/>
    <x v="0"/>
    <x v="0"/>
    <n v="165"/>
    <n v="162254"/>
    <n v="535833"/>
    <n v="266804"/>
    <n v="68"/>
    <n v="891"/>
    <n v="959"/>
  </r>
  <r>
    <d v="2011-01-15T00:00:00"/>
    <x v="0"/>
    <x v="0"/>
    <x v="0"/>
    <n v="0"/>
    <x v="6"/>
    <x v="0"/>
    <x v="0"/>
    <n v="233333"/>
    <n v="248112"/>
    <n v="49875"/>
    <n v="157963"/>
    <n v="222"/>
    <n v="1026"/>
    <n v="1248"/>
  </r>
  <r>
    <d v="2011-01-22T00:00:00"/>
    <x v="0"/>
    <x v="0"/>
    <x v="0"/>
    <n v="0"/>
    <x v="6"/>
    <x v="0"/>
    <x v="1"/>
    <n v="591304"/>
    <n v="790696"/>
    <n v="4"/>
    <n v="17197"/>
    <n v="93"/>
    <n v="888"/>
    <n v="981"/>
  </r>
  <r>
    <d v="2011-01-29T00:00:00"/>
    <x v="0"/>
    <x v="0"/>
    <x v="0"/>
    <n v="0"/>
    <x v="6"/>
    <x v="0"/>
    <x v="1"/>
    <n v="196522"/>
    <n v="212126"/>
    <n v="651739"/>
    <n v="145365"/>
    <n v="123"/>
    <n v="975"/>
    <n v="1098"/>
  </r>
  <r>
    <d v="2011-02-05T00:00:00"/>
    <x v="0"/>
    <x v="0"/>
    <x v="1"/>
    <n v="0"/>
    <x v="6"/>
    <x v="0"/>
    <x v="0"/>
    <n v="233333"/>
    <n v="243058"/>
    <n v="929167"/>
    <n v="161079"/>
    <n v="100"/>
    <n v="905"/>
    <n v="1005"/>
  </r>
  <r>
    <d v="2011-02-12T00:00:00"/>
    <x v="0"/>
    <x v="0"/>
    <x v="1"/>
    <n v="0"/>
    <x v="6"/>
    <x v="0"/>
    <x v="1"/>
    <n v="2225"/>
    <n v="232954"/>
    <n v="544167"/>
    <n v="203367"/>
    <n v="288"/>
    <n v="1184"/>
    <n v="1472"/>
  </r>
  <r>
    <d v="2011-02-19T00:00:00"/>
    <x v="0"/>
    <x v="0"/>
    <x v="1"/>
    <n v="0"/>
    <x v="6"/>
    <x v="0"/>
    <x v="1"/>
    <n v="399167"/>
    <n v="391404"/>
    <n v="187917"/>
    <n v="507463"/>
    <n v="532"/>
    <n v="1103"/>
    <n v="1635"/>
  </r>
  <r>
    <d v="2011-02-26T00:00:00"/>
    <x v="0"/>
    <x v="0"/>
    <x v="1"/>
    <n v="0"/>
    <x v="6"/>
    <x v="0"/>
    <x v="1"/>
    <n v="2825"/>
    <n v="282192"/>
    <n v="537917"/>
    <n v="186571"/>
    <n v="424"/>
    <n v="1545"/>
    <n v="1969"/>
  </r>
  <r>
    <d v="2011-03-05T00:00:00"/>
    <x v="0"/>
    <x v="0"/>
    <x v="2"/>
    <n v="0"/>
    <x v="6"/>
    <x v="0"/>
    <x v="0"/>
    <n v="384167"/>
    <n v="378779"/>
    <n v="789167"/>
    <n v="251871"/>
    <n v="640"/>
    <n v="1437"/>
    <n v="2077"/>
  </r>
  <r>
    <d v="2011-03-12T00:00:00"/>
    <x v="0"/>
    <x v="0"/>
    <x v="2"/>
    <n v="0"/>
    <x v="6"/>
    <x v="0"/>
    <x v="1"/>
    <n v="329167"/>
    <n v="32575"/>
    <n v="594583"/>
    <n v="220775"/>
    <n v="724"/>
    <n v="1408"/>
    <n v="2132"/>
  </r>
  <r>
    <d v="2011-03-19T00:00:00"/>
    <x v="0"/>
    <x v="0"/>
    <x v="2"/>
    <n v="0"/>
    <x v="6"/>
    <x v="0"/>
    <x v="1"/>
    <n v="4725"/>
    <n v="466525"/>
    <n v="379167"/>
    <n v="368167"/>
    <n v="1424"/>
    <n v="1693"/>
    <n v="3117"/>
  </r>
  <r>
    <d v="2011-03-26T00:00:00"/>
    <x v="1"/>
    <x v="0"/>
    <x v="2"/>
    <n v="0"/>
    <x v="6"/>
    <x v="0"/>
    <x v="1"/>
    <n v="265833"/>
    <n v="257571"/>
    <n v="394167"/>
    <n v="209571"/>
    <n v="981"/>
    <n v="1515"/>
    <n v="2496"/>
  </r>
  <r>
    <d v="2011-04-02T00:00:00"/>
    <x v="1"/>
    <x v="0"/>
    <x v="3"/>
    <n v="0"/>
    <x v="6"/>
    <x v="0"/>
    <x v="0"/>
    <n v="315"/>
    <n v="315637"/>
    <n v="65375"/>
    <n v="197146"/>
    <n v="898"/>
    <n v="1354"/>
    <n v="2252"/>
  </r>
  <r>
    <d v="2011-04-09T00:00:00"/>
    <x v="1"/>
    <x v="0"/>
    <x v="3"/>
    <n v="0"/>
    <x v="6"/>
    <x v="0"/>
    <x v="0"/>
    <n v="3425"/>
    <n v="341529"/>
    <n v="8775"/>
    <n v="133083"/>
    <n v="879"/>
    <n v="1576"/>
    <n v="2455"/>
  </r>
  <r>
    <d v="2011-04-16T00:00:00"/>
    <x v="1"/>
    <x v="0"/>
    <x v="3"/>
    <n v="0"/>
    <x v="6"/>
    <x v="0"/>
    <x v="2"/>
    <n v="430833"/>
    <n v="425492"/>
    <n v="888333"/>
    <n v="340808"/>
    <n v="121"/>
    <n v="674"/>
    <n v="795"/>
  </r>
  <r>
    <d v="2011-04-23T00:00:00"/>
    <x v="1"/>
    <x v="0"/>
    <x v="3"/>
    <n v="0"/>
    <x v="6"/>
    <x v="0"/>
    <x v="0"/>
    <n v="46"/>
    <n v="450121"/>
    <n v="887917"/>
    <n v="230725"/>
    <n v="1462"/>
    <n v="2574"/>
    <n v="4036"/>
  </r>
  <r>
    <d v="2011-04-30T00:00:00"/>
    <x v="1"/>
    <x v="0"/>
    <x v="3"/>
    <n v="0"/>
    <x v="6"/>
    <x v="0"/>
    <x v="1"/>
    <n v="4725"/>
    <n v="464021"/>
    <n v="503333"/>
    <n v="235075"/>
    <n v="1965"/>
    <n v="3347"/>
    <n v="5312"/>
  </r>
  <r>
    <d v="2011-05-07T00:00:00"/>
    <x v="1"/>
    <x v="0"/>
    <x v="4"/>
    <n v="0"/>
    <x v="6"/>
    <x v="0"/>
    <x v="1"/>
    <n v="52"/>
    <n v="512621"/>
    <n v="54125"/>
    <n v="16045"/>
    <n v="1612"/>
    <n v="3102"/>
    <n v="4714"/>
  </r>
  <r>
    <d v="2011-05-14T00:00:00"/>
    <x v="1"/>
    <x v="0"/>
    <x v="4"/>
    <n v="0"/>
    <x v="6"/>
    <x v="0"/>
    <x v="0"/>
    <n v="520833"/>
    <n v="500629"/>
    <n v="9225"/>
    <n v="13495"/>
    <n v="902"/>
    <n v="2507"/>
    <n v="3409"/>
  </r>
  <r>
    <d v="2011-05-21T00:00:00"/>
    <x v="1"/>
    <x v="0"/>
    <x v="4"/>
    <n v="0"/>
    <x v="6"/>
    <x v="0"/>
    <x v="1"/>
    <n v="6025"/>
    <n v="571975"/>
    <n v="626667"/>
    <n v="12065"/>
    <n v="2258"/>
    <n v="3547"/>
    <n v="5805"/>
  </r>
  <r>
    <d v="2011-05-28T00:00:00"/>
    <x v="1"/>
    <x v="0"/>
    <x v="4"/>
    <n v="0"/>
    <x v="6"/>
    <x v="0"/>
    <x v="1"/>
    <n v="655833"/>
    <n v="612379"/>
    <n v="729583"/>
    <n v="230092"/>
    <n v="2001"/>
    <n v="2757"/>
    <n v="4758"/>
  </r>
  <r>
    <d v="2011-06-04T00:00:00"/>
    <x v="1"/>
    <x v="0"/>
    <x v="5"/>
    <n v="0"/>
    <x v="6"/>
    <x v="0"/>
    <x v="1"/>
    <n v="635"/>
    <n v="594696"/>
    <n v="45625"/>
    <n v="123142"/>
    <n v="1869"/>
    <n v="3473"/>
    <n v="5342"/>
  </r>
  <r>
    <d v="2011-06-11T00:00:00"/>
    <x v="1"/>
    <x v="0"/>
    <x v="5"/>
    <n v="0"/>
    <x v="6"/>
    <x v="0"/>
    <x v="1"/>
    <n v="725"/>
    <n v="678038"/>
    <n v="654583"/>
    <n v="15485"/>
    <n v="1729"/>
    <n v="3237"/>
    <n v="4966"/>
  </r>
  <r>
    <d v="2011-06-18T00:00:00"/>
    <x v="1"/>
    <x v="0"/>
    <x v="5"/>
    <n v="0"/>
    <x v="6"/>
    <x v="0"/>
    <x v="1"/>
    <n v="696667"/>
    <n v="643954"/>
    <n v="670417"/>
    <n v="119408"/>
    <n v="1807"/>
    <n v="3312"/>
    <n v="5119"/>
  </r>
  <r>
    <d v="2011-06-25T00:00:00"/>
    <x v="2"/>
    <x v="0"/>
    <x v="5"/>
    <n v="0"/>
    <x v="6"/>
    <x v="0"/>
    <x v="1"/>
    <n v="695"/>
    <n v="643313"/>
    <n v="483333"/>
    <n v="209571"/>
    <n v="1782"/>
    <n v="3420"/>
    <n v="5202"/>
  </r>
  <r>
    <d v="2011-07-02T00:00:00"/>
    <x v="2"/>
    <x v="0"/>
    <x v="6"/>
    <n v="0"/>
    <x v="6"/>
    <x v="0"/>
    <x v="1"/>
    <n v="738333"/>
    <n v="667308"/>
    <n v="444583"/>
    <n v="115062"/>
    <n v="2204"/>
    <n v="2915"/>
    <n v="5119"/>
  </r>
  <r>
    <d v="2011-07-09T00:00:00"/>
    <x v="2"/>
    <x v="0"/>
    <x v="6"/>
    <n v="0"/>
    <x v="6"/>
    <x v="0"/>
    <x v="1"/>
    <n v="733333"/>
    <n v="664158"/>
    <n v="609167"/>
    <n v="167912"/>
    <n v="1988"/>
    <n v="3348"/>
    <n v="5336"/>
  </r>
  <r>
    <d v="2011-07-16T00:00:00"/>
    <x v="2"/>
    <x v="0"/>
    <x v="6"/>
    <n v="0"/>
    <x v="6"/>
    <x v="0"/>
    <x v="1"/>
    <n v="686667"/>
    <n v="638263"/>
    <n v="585"/>
    <n v="208342"/>
    <n v="2418"/>
    <n v="3505"/>
    <n v="5923"/>
  </r>
  <r>
    <d v="2011-07-23T00:00:00"/>
    <x v="2"/>
    <x v="0"/>
    <x v="6"/>
    <n v="0"/>
    <x v="6"/>
    <x v="0"/>
    <x v="1"/>
    <n v="849167"/>
    <n v="804287"/>
    <n v="5"/>
    <n v="131221"/>
    <n v="987"/>
    <n v="2298"/>
    <n v="3285"/>
  </r>
  <r>
    <d v="2011-07-30T00:00:00"/>
    <x v="2"/>
    <x v="0"/>
    <x v="6"/>
    <n v="0"/>
    <x v="6"/>
    <x v="0"/>
    <x v="1"/>
    <n v="804167"/>
    <n v="728537"/>
    <n v="465833"/>
    <n v="168537"/>
    <n v="1559"/>
    <n v="2916"/>
    <n v="4475"/>
  </r>
  <r>
    <d v="2011-08-06T00:00:00"/>
    <x v="2"/>
    <x v="0"/>
    <x v="7"/>
    <n v="0"/>
    <x v="6"/>
    <x v="0"/>
    <x v="0"/>
    <n v="716667"/>
    <n v="676154"/>
    <n v="755"/>
    <n v="22825"/>
    <n v="1521"/>
    <n v="2773"/>
    <n v="4294"/>
  </r>
  <r>
    <d v="2011-08-13T00:00:00"/>
    <x v="2"/>
    <x v="0"/>
    <x v="7"/>
    <n v="0"/>
    <x v="6"/>
    <x v="0"/>
    <x v="0"/>
    <n v="685833"/>
    <n v="645858"/>
    <n v="729583"/>
    <n v="211454"/>
    <n v="1504"/>
    <n v="2646"/>
    <n v="4150"/>
  </r>
  <r>
    <d v="2011-08-20T00:00:00"/>
    <x v="2"/>
    <x v="0"/>
    <x v="7"/>
    <n v="0"/>
    <x v="6"/>
    <x v="0"/>
    <x v="1"/>
    <n v="6975"/>
    <n v="648996"/>
    <n v="674167"/>
    <n v="104467"/>
    <n v="1914"/>
    <n v="3277"/>
    <n v="5191"/>
  </r>
  <r>
    <d v="2011-08-27T00:00:00"/>
    <x v="2"/>
    <x v="0"/>
    <x v="7"/>
    <n v="0"/>
    <x v="6"/>
    <x v="0"/>
    <x v="0"/>
    <n v="68"/>
    <n v="635556"/>
    <n v="85"/>
    <n v="375617"/>
    <n v="226"/>
    <n v="889"/>
    <n v="1115"/>
  </r>
  <r>
    <d v="2011-09-03T00:00:00"/>
    <x v="2"/>
    <x v="0"/>
    <x v="8"/>
    <n v="0"/>
    <x v="6"/>
    <x v="0"/>
    <x v="1"/>
    <n v="669167"/>
    <n v="633213"/>
    <n v="716667"/>
    <n v="185325"/>
    <n v="1935"/>
    <n v="2549"/>
    <n v="4484"/>
  </r>
  <r>
    <d v="2011-09-10T00:00:00"/>
    <x v="2"/>
    <x v="0"/>
    <x v="8"/>
    <n v="0"/>
    <x v="6"/>
    <x v="0"/>
    <x v="1"/>
    <n v="66"/>
    <n v="607962"/>
    <n v="75375"/>
    <n v="153608"/>
    <n v="1750"/>
    <n v="3595"/>
    <n v="5345"/>
  </r>
  <r>
    <d v="2011-09-17T00:00:00"/>
    <x v="2"/>
    <x v="0"/>
    <x v="8"/>
    <n v="0"/>
    <x v="6"/>
    <x v="0"/>
    <x v="0"/>
    <n v="491667"/>
    <n v="478512"/>
    <n v="718333"/>
    <n v="189675"/>
    <n v="1434"/>
    <n v="3077"/>
    <n v="4511"/>
  </r>
  <r>
    <d v="2011-09-24T00:00:00"/>
    <x v="3"/>
    <x v="0"/>
    <x v="8"/>
    <n v="0"/>
    <x v="6"/>
    <x v="0"/>
    <x v="0"/>
    <n v="606667"/>
    <n v="564412"/>
    <n v="8625"/>
    <n v="783833"/>
    <n v="1776"/>
    <n v="3647"/>
    <n v="5423"/>
  </r>
  <r>
    <d v="2011-10-01T00:00:00"/>
    <x v="3"/>
    <x v="0"/>
    <x v="9"/>
    <n v="0"/>
    <x v="6"/>
    <x v="0"/>
    <x v="0"/>
    <n v="41"/>
    <n v="412863"/>
    <n v="75375"/>
    <n v="292296"/>
    <n v="480"/>
    <n v="1949"/>
    <n v="2429"/>
  </r>
  <r>
    <d v="2011-10-08T00:00:00"/>
    <x v="3"/>
    <x v="0"/>
    <x v="9"/>
    <n v="0"/>
    <x v="6"/>
    <x v="0"/>
    <x v="1"/>
    <n v="521667"/>
    <n v="513242"/>
    <n v="70125"/>
    <n v="454042"/>
    <n v="2235"/>
    <n v="3174"/>
    <n v="5409"/>
  </r>
  <r>
    <d v="2011-10-15T00:00:00"/>
    <x v="3"/>
    <x v="0"/>
    <x v="9"/>
    <n v="0"/>
    <x v="6"/>
    <x v="0"/>
    <x v="1"/>
    <n v="506667"/>
    <n v="498725"/>
    <n v="483333"/>
    <n v="258083"/>
    <n v="1899"/>
    <n v="3318"/>
    <n v="5217"/>
  </r>
  <r>
    <d v="2011-10-22T00:00:00"/>
    <x v="3"/>
    <x v="0"/>
    <x v="9"/>
    <n v="0"/>
    <x v="6"/>
    <x v="0"/>
    <x v="1"/>
    <n v="4225"/>
    <n v="425492"/>
    <n v="629167"/>
    <n v="926667"/>
    <n v="1499"/>
    <n v="2809"/>
    <n v="4308"/>
  </r>
  <r>
    <d v="2011-10-29T00:00:00"/>
    <x v="3"/>
    <x v="0"/>
    <x v="9"/>
    <n v="0"/>
    <x v="6"/>
    <x v="0"/>
    <x v="2"/>
    <n v="254167"/>
    <n v="227913"/>
    <n v="8825"/>
    <n v="351371"/>
    <n v="57"/>
    <n v="570"/>
    <n v="627"/>
  </r>
  <r>
    <d v="2011-11-05T00:00:00"/>
    <x v="3"/>
    <x v="0"/>
    <x v="10"/>
    <n v="0"/>
    <x v="6"/>
    <x v="0"/>
    <x v="1"/>
    <n v="326667"/>
    <n v="323854"/>
    <n v="519167"/>
    <n v="189062"/>
    <n v="1156"/>
    <n v="2770"/>
    <n v="3926"/>
  </r>
  <r>
    <d v="2011-11-12T00:00:00"/>
    <x v="3"/>
    <x v="0"/>
    <x v="10"/>
    <n v="0"/>
    <x v="6"/>
    <x v="0"/>
    <x v="1"/>
    <n v="356667"/>
    <n v="357942"/>
    <n v="552917"/>
    <n v="212062"/>
    <n v="1275"/>
    <n v="2792"/>
    <n v="4067"/>
  </r>
  <r>
    <d v="2011-11-19T00:00:00"/>
    <x v="3"/>
    <x v="0"/>
    <x v="10"/>
    <n v="0"/>
    <x v="6"/>
    <x v="0"/>
    <x v="1"/>
    <n v="329167"/>
    <n v="324483"/>
    <n v="502083"/>
    <n v="224496"/>
    <n v="943"/>
    <n v="2720"/>
    <n v="3663"/>
  </r>
  <r>
    <d v="2011-11-26T00:00:00"/>
    <x v="3"/>
    <x v="0"/>
    <x v="10"/>
    <n v="0"/>
    <x v="6"/>
    <x v="0"/>
    <x v="1"/>
    <n v="375833"/>
    <n v="385087"/>
    <n v="681667"/>
    <n v="684208"/>
    <n v="1249"/>
    <n v="1819"/>
    <n v="3068"/>
  </r>
  <r>
    <d v="2011-12-03T00:00:00"/>
    <x v="3"/>
    <x v="0"/>
    <x v="11"/>
    <n v="0"/>
    <x v="6"/>
    <x v="0"/>
    <x v="1"/>
    <n v="299167"/>
    <n v="310604"/>
    <n v="612917"/>
    <n v="957833"/>
    <n v="706"/>
    <n v="2908"/>
    <n v="3614"/>
  </r>
  <r>
    <d v="2011-12-10T00:00:00"/>
    <x v="3"/>
    <x v="0"/>
    <x v="11"/>
    <n v="0"/>
    <x v="6"/>
    <x v="0"/>
    <x v="1"/>
    <n v="275"/>
    <n v="266412"/>
    <n v="5075"/>
    <n v="233221"/>
    <n v="502"/>
    <n v="2688"/>
    <n v="3190"/>
  </r>
  <r>
    <d v="2011-12-17T00:00:00"/>
    <x v="3"/>
    <x v="0"/>
    <x v="11"/>
    <n v="0"/>
    <x v="6"/>
    <x v="0"/>
    <x v="0"/>
    <n v="258333"/>
    <n v="249371"/>
    <n v="560833"/>
    <n v="243167"/>
    <n v="275"/>
    <n v="2464"/>
    <n v="2739"/>
  </r>
  <r>
    <d v="2011-12-24T00:00:00"/>
    <x v="0"/>
    <x v="0"/>
    <x v="11"/>
    <n v="0"/>
    <x v="6"/>
    <x v="0"/>
    <x v="1"/>
    <n v="3025"/>
    <n v="299242"/>
    <n v="5425"/>
    <n v="190304"/>
    <n v="155"/>
    <n v="856"/>
    <n v="1011"/>
  </r>
  <r>
    <d v="2011-12-31T00:00:00"/>
    <x v="0"/>
    <x v="0"/>
    <x v="11"/>
    <n v="0"/>
    <x v="6"/>
    <x v="0"/>
    <x v="1"/>
    <n v="41"/>
    <n v="414121"/>
    <n v="615833"/>
    <n v="220154"/>
    <n v="665"/>
    <n v="1820"/>
    <n v="2485"/>
  </r>
  <r>
    <d v="2012-01-07T00:00:00"/>
    <x v="0"/>
    <x v="1"/>
    <x v="0"/>
    <n v="0"/>
    <x v="6"/>
    <x v="0"/>
    <x v="1"/>
    <n v="393333"/>
    <n v="390779"/>
    <n v="531667"/>
    <n v="174758"/>
    <n v="1070"/>
    <n v="3451"/>
    <n v="4521"/>
  </r>
  <r>
    <d v="2012-01-14T00:00:00"/>
    <x v="0"/>
    <x v="1"/>
    <x v="0"/>
    <n v="0"/>
    <x v="6"/>
    <x v="0"/>
    <x v="1"/>
    <n v="18"/>
    <n v="183087"/>
    <n v="4575"/>
    <n v="187183"/>
    <n v="333"/>
    <n v="2160"/>
    <n v="2493"/>
  </r>
  <r>
    <d v="2012-01-21T00:00:00"/>
    <x v="0"/>
    <x v="1"/>
    <x v="0"/>
    <n v="0"/>
    <x v="6"/>
    <x v="0"/>
    <x v="0"/>
    <n v="173333"/>
    <n v="174875"/>
    <n v="83125"/>
    <n v="222642"/>
    <n v="67"/>
    <n v="1234"/>
    <n v="1301"/>
  </r>
  <r>
    <d v="2012-01-28T00:00:00"/>
    <x v="0"/>
    <x v="1"/>
    <x v="0"/>
    <n v="0"/>
    <x v="6"/>
    <x v="0"/>
    <x v="1"/>
    <n v="315833"/>
    <n v="326379"/>
    <n v="543333"/>
    <n v="210829"/>
    <n v="775"/>
    <n v="3248"/>
    <n v="4023"/>
  </r>
  <r>
    <d v="2012-02-04T00:00:00"/>
    <x v="0"/>
    <x v="1"/>
    <x v="1"/>
    <n v="0"/>
    <x v="6"/>
    <x v="0"/>
    <x v="0"/>
    <n v="264167"/>
    <n v="272725"/>
    <n v="779583"/>
    <n v="121896"/>
    <n v="384"/>
    <n v="2448"/>
    <n v="2832"/>
  </r>
  <r>
    <d v="2012-02-11T00:00:00"/>
    <x v="0"/>
    <x v="1"/>
    <x v="1"/>
    <n v="0"/>
    <x v="6"/>
    <x v="0"/>
    <x v="2"/>
    <n v="224167"/>
    <n v="210867"/>
    <n v="73125"/>
    <n v="289796"/>
    <n v="192"/>
    <n v="1977"/>
    <n v="2169"/>
  </r>
  <r>
    <d v="2012-02-18T00:00:00"/>
    <x v="0"/>
    <x v="1"/>
    <x v="1"/>
    <n v="0"/>
    <x v="6"/>
    <x v="0"/>
    <x v="1"/>
    <n v="346667"/>
    <n v="355425"/>
    <n v="534583"/>
    <n v="190929"/>
    <n v="1435"/>
    <n v="2883"/>
    <n v="4318"/>
  </r>
  <r>
    <d v="2012-02-25T00:00:00"/>
    <x v="0"/>
    <x v="1"/>
    <x v="1"/>
    <n v="0"/>
    <x v="6"/>
    <x v="0"/>
    <x v="1"/>
    <n v="290833"/>
    <n v="255675"/>
    <n v="395833"/>
    <n v="421642"/>
    <n v="317"/>
    <n v="2415"/>
    <n v="2732"/>
  </r>
  <r>
    <d v="2012-03-03T00:00:00"/>
    <x v="0"/>
    <x v="1"/>
    <x v="2"/>
    <n v="0"/>
    <x v="6"/>
    <x v="0"/>
    <x v="0"/>
    <n v="414167"/>
    <n v="413492"/>
    <n v="62125"/>
    <n v="161079"/>
    <n v="956"/>
    <n v="3110"/>
    <n v="4066"/>
  </r>
  <r>
    <d v="2012-03-10T00:00:00"/>
    <x v="0"/>
    <x v="1"/>
    <x v="2"/>
    <n v="0"/>
    <x v="6"/>
    <x v="0"/>
    <x v="1"/>
    <n v="2875"/>
    <n v="277767"/>
    <n v="350417"/>
    <n v="22575"/>
    <n v="968"/>
    <n v="3150"/>
    <n v="4118"/>
  </r>
  <r>
    <d v="2012-03-17T00:00:00"/>
    <x v="0"/>
    <x v="1"/>
    <x v="2"/>
    <n v="0"/>
    <x v="6"/>
    <x v="0"/>
    <x v="0"/>
    <n v="514167"/>
    <n v="505046"/>
    <n v="755833"/>
    <n v="110704"/>
    <n v="3155"/>
    <n v="4681"/>
    <n v="7836"/>
  </r>
  <r>
    <d v="2012-03-24T00:00:00"/>
    <x v="1"/>
    <x v="1"/>
    <x v="2"/>
    <n v="0"/>
    <x v="6"/>
    <x v="0"/>
    <x v="0"/>
    <n v="5025"/>
    <n v="486733"/>
    <n v="885417"/>
    <n v="192783"/>
    <n v="1033"/>
    <n v="2339"/>
    <n v="3372"/>
  </r>
  <r>
    <d v="2012-03-31T00:00:00"/>
    <x v="1"/>
    <x v="1"/>
    <x v="2"/>
    <n v="0"/>
    <x v="6"/>
    <x v="0"/>
    <x v="0"/>
    <n v="424167"/>
    <n v="421708"/>
    <n v="738333"/>
    <n v="250617"/>
    <n v="2301"/>
    <n v="3934"/>
    <n v="6235"/>
  </r>
  <r>
    <d v="2012-04-07T00:00:00"/>
    <x v="1"/>
    <x v="1"/>
    <x v="3"/>
    <n v="0"/>
    <x v="6"/>
    <x v="0"/>
    <x v="1"/>
    <n v="4375"/>
    <n v="426129"/>
    <n v="254167"/>
    <n v="274871"/>
    <n v="3252"/>
    <n v="3605"/>
    <n v="6857"/>
  </r>
  <r>
    <d v="2012-04-14T00:00:00"/>
    <x v="1"/>
    <x v="1"/>
    <x v="3"/>
    <n v="0"/>
    <x v="6"/>
    <x v="0"/>
    <x v="1"/>
    <n v="495"/>
    <n v="487996"/>
    <n v="502917"/>
    <n v="190917"/>
    <n v="2795"/>
    <n v="4665"/>
    <n v="7460"/>
  </r>
  <r>
    <d v="2012-04-21T00:00:00"/>
    <x v="1"/>
    <x v="1"/>
    <x v="3"/>
    <n v="0"/>
    <x v="6"/>
    <x v="0"/>
    <x v="1"/>
    <n v="57"/>
    <n v="542921"/>
    <n v="682917"/>
    <n v="283587"/>
    <n v="2541"/>
    <n v="4083"/>
    <n v="6624"/>
  </r>
  <r>
    <d v="2012-04-28T00:00:00"/>
    <x v="1"/>
    <x v="1"/>
    <x v="3"/>
    <n v="0"/>
    <x v="6"/>
    <x v="0"/>
    <x v="0"/>
    <n v="376667"/>
    <n v="377504"/>
    <n v="489583"/>
    <n v="129975"/>
    <n v="1120"/>
    <n v="3100"/>
    <n v="4220"/>
  </r>
  <r>
    <d v="2012-05-05T00:00:00"/>
    <x v="1"/>
    <x v="1"/>
    <x v="4"/>
    <n v="0"/>
    <x v="6"/>
    <x v="0"/>
    <x v="0"/>
    <n v="621667"/>
    <n v="584608"/>
    <n v="756667"/>
    <n v="152992"/>
    <n v="2496"/>
    <n v="4387"/>
    <n v="6883"/>
  </r>
  <r>
    <d v="2012-05-12T00:00:00"/>
    <x v="1"/>
    <x v="1"/>
    <x v="4"/>
    <n v="0"/>
    <x v="6"/>
    <x v="0"/>
    <x v="1"/>
    <n v="564167"/>
    <n v="544817"/>
    <n v="480417"/>
    <n v="123133"/>
    <n v="2622"/>
    <n v="4807"/>
    <n v="7429"/>
  </r>
  <r>
    <d v="2012-05-19T00:00:00"/>
    <x v="1"/>
    <x v="1"/>
    <x v="4"/>
    <n v="0"/>
    <x v="6"/>
    <x v="0"/>
    <x v="1"/>
    <n v="6"/>
    <n v="566908"/>
    <n v="45625"/>
    <n v="83975"/>
    <n v="3410"/>
    <n v="4884"/>
    <n v="8294"/>
  </r>
  <r>
    <d v="2012-05-26T00:00:00"/>
    <x v="1"/>
    <x v="1"/>
    <x v="4"/>
    <n v="0"/>
    <x v="6"/>
    <x v="0"/>
    <x v="1"/>
    <n v="6925"/>
    <n v="642696"/>
    <n v="7325"/>
    <n v="198992"/>
    <n v="2855"/>
    <n v="3681"/>
    <n v="6536"/>
  </r>
  <r>
    <d v="2012-06-02T00:00:00"/>
    <x v="1"/>
    <x v="1"/>
    <x v="5"/>
    <n v="0"/>
    <x v="6"/>
    <x v="0"/>
    <x v="1"/>
    <n v="583333"/>
    <n v="566288"/>
    <n v="549167"/>
    <n v="186562"/>
    <n v="2795"/>
    <n v="5325"/>
    <n v="8120"/>
  </r>
  <r>
    <d v="2012-06-09T00:00:00"/>
    <x v="1"/>
    <x v="1"/>
    <x v="5"/>
    <n v="0"/>
    <x v="6"/>
    <x v="0"/>
    <x v="1"/>
    <n v="710833"/>
    <n v="648367"/>
    <n v="437083"/>
    <n v="144287"/>
    <n v="2708"/>
    <n v="4790"/>
    <n v="7498"/>
  </r>
  <r>
    <d v="2012-06-16T00:00:00"/>
    <x v="1"/>
    <x v="1"/>
    <x v="5"/>
    <n v="0"/>
    <x v="6"/>
    <x v="0"/>
    <x v="1"/>
    <n v="631667"/>
    <n v="594708"/>
    <n v="504167"/>
    <n v="166667"/>
    <n v="2963"/>
    <n v="4739"/>
    <n v="7702"/>
  </r>
  <r>
    <d v="2012-06-23T00:00:00"/>
    <x v="2"/>
    <x v="1"/>
    <x v="5"/>
    <n v="0"/>
    <x v="6"/>
    <x v="0"/>
    <x v="1"/>
    <n v="731667"/>
    <n v="652792"/>
    <n v="534583"/>
    <n v="179721"/>
    <n v="2657"/>
    <n v="4801"/>
    <n v="7458"/>
  </r>
  <r>
    <d v="2012-06-30T00:00:00"/>
    <x v="2"/>
    <x v="1"/>
    <x v="5"/>
    <n v="0"/>
    <x v="6"/>
    <x v="0"/>
    <x v="1"/>
    <n v="765"/>
    <n v="687508"/>
    <n v="60125"/>
    <n v="161071"/>
    <n v="1455"/>
    <n v="4232"/>
    <n v="5687"/>
  </r>
  <r>
    <d v="2012-07-07T00:00:00"/>
    <x v="2"/>
    <x v="1"/>
    <x v="6"/>
    <n v="0"/>
    <x v="6"/>
    <x v="0"/>
    <x v="1"/>
    <n v="861667"/>
    <n v="804913"/>
    <n v="492083"/>
    <n v="163554"/>
    <n v="1448"/>
    <n v="3392"/>
    <n v="4840"/>
  </r>
  <r>
    <d v="2012-07-14T00:00:00"/>
    <x v="2"/>
    <x v="1"/>
    <x v="6"/>
    <n v="0"/>
    <x v="6"/>
    <x v="0"/>
    <x v="0"/>
    <n v="703333"/>
    <n v="666042"/>
    <n v="699167"/>
    <n v="143679"/>
    <n v="2355"/>
    <n v="4614"/>
    <n v="6969"/>
  </r>
  <r>
    <d v="2012-07-21T00:00:00"/>
    <x v="2"/>
    <x v="1"/>
    <x v="6"/>
    <n v="0"/>
    <x v="6"/>
    <x v="0"/>
    <x v="2"/>
    <n v="595833"/>
    <n v="549912"/>
    <n v="865417"/>
    <n v="2133"/>
    <n v="1264"/>
    <n v="3195"/>
    <n v="4459"/>
  </r>
  <r>
    <d v="2012-07-28T00:00:00"/>
    <x v="2"/>
    <x v="1"/>
    <x v="6"/>
    <n v="0"/>
    <x v="6"/>
    <x v="0"/>
    <x v="1"/>
    <n v="755833"/>
    <n v="697604"/>
    <n v="613333"/>
    <n v="15735"/>
    <n v="2234"/>
    <n v="4451"/>
    <n v="6685"/>
  </r>
  <r>
    <d v="2012-08-04T00:00:00"/>
    <x v="2"/>
    <x v="1"/>
    <x v="7"/>
    <n v="0"/>
    <x v="6"/>
    <x v="0"/>
    <x v="1"/>
    <n v="793333"/>
    <n v="751267"/>
    <n v="613333"/>
    <n v="257458"/>
    <n v="2345"/>
    <n v="4479"/>
    <n v="6824"/>
  </r>
  <r>
    <d v="2012-08-11T00:00:00"/>
    <x v="2"/>
    <x v="1"/>
    <x v="7"/>
    <n v="0"/>
    <x v="6"/>
    <x v="0"/>
    <x v="0"/>
    <n v="6925"/>
    <n v="638267"/>
    <n v="732917"/>
    <n v="206479"/>
    <n v="2247"/>
    <n v="4052"/>
    <n v="6299"/>
  </r>
  <r>
    <d v="2012-08-18T00:00:00"/>
    <x v="2"/>
    <x v="1"/>
    <x v="7"/>
    <n v="0"/>
    <x v="6"/>
    <x v="0"/>
    <x v="1"/>
    <n v="678333"/>
    <n v="618071"/>
    <n v="603333"/>
    <n v="177867"/>
    <n v="2827"/>
    <n v="5038"/>
    <n v="7865"/>
  </r>
  <r>
    <d v="2012-08-25T00:00:00"/>
    <x v="2"/>
    <x v="1"/>
    <x v="7"/>
    <n v="0"/>
    <x v="6"/>
    <x v="0"/>
    <x v="0"/>
    <n v="661667"/>
    <n v="618696"/>
    <n v="712917"/>
    <n v="244408"/>
    <n v="1829"/>
    <n v="4224"/>
    <n v="6053"/>
  </r>
  <r>
    <d v="2012-09-01T00:00:00"/>
    <x v="2"/>
    <x v="1"/>
    <x v="8"/>
    <n v="0"/>
    <x v="6"/>
    <x v="0"/>
    <x v="0"/>
    <n v="753333"/>
    <n v="702654"/>
    <n v="638333"/>
    <n v="113187"/>
    <n v="2352"/>
    <n v="3788"/>
    <n v="6140"/>
  </r>
  <r>
    <d v="2012-09-08T00:00:00"/>
    <x v="2"/>
    <x v="1"/>
    <x v="8"/>
    <n v="0"/>
    <x v="6"/>
    <x v="0"/>
    <x v="0"/>
    <n v="659167"/>
    <n v="611121"/>
    <n v="799167"/>
    <n v="281104"/>
    <n v="1557"/>
    <n v="4419"/>
    <n v="5976"/>
  </r>
  <r>
    <d v="2012-09-15T00:00:00"/>
    <x v="2"/>
    <x v="1"/>
    <x v="8"/>
    <n v="0"/>
    <x v="6"/>
    <x v="0"/>
    <x v="1"/>
    <n v="608333"/>
    <n v="585867"/>
    <n v="501667"/>
    <n v="247521"/>
    <n v="3160"/>
    <n v="5554"/>
    <n v="8714"/>
  </r>
  <r>
    <d v="2012-09-22T00:00:00"/>
    <x v="2"/>
    <x v="1"/>
    <x v="8"/>
    <n v="0"/>
    <x v="6"/>
    <x v="0"/>
    <x v="1"/>
    <n v="65"/>
    <n v="610488"/>
    <n v="646667"/>
    <n v="283583"/>
    <n v="2512"/>
    <n v="5883"/>
    <n v="8395"/>
  </r>
  <r>
    <d v="2012-09-29T00:00:00"/>
    <x v="3"/>
    <x v="1"/>
    <x v="8"/>
    <n v="0"/>
    <x v="6"/>
    <x v="0"/>
    <x v="1"/>
    <n v="5425"/>
    <n v="530296"/>
    <n v="542917"/>
    <n v="227604"/>
    <n v="2589"/>
    <n v="5966"/>
    <n v="8555"/>
  </r>
  <r>
    <d v="2012-10-06T00:00:00"/>
    <x v="3"/>
    <x v="1"/>
    <x v="9"/>
    <n v="0"/>
    <x v="6"/>
    <x v="0"/>
    <x v="1"/>
    <n v="554167"/>
    <n v="538521"/>
    <n v="664167"/>
    <n v="268025"/>
    <n v="3031"/>
    <n v="4934"/>
    <n v="7965"/>
  </r>
  <r>
    <d v="2012-10-13T00:00:00"/>
    <x v="3"/>
    <x v="1"/>
    <x v="9"/>
    <n v="0"/>
    <x v="6"/>
    <x v="0"/>
    <x v="1"/>
    <n v="393333"/>
    <n v="391396"/>
    <n v="494583"/>
    <n v="146142"/>
    <n v="2252"/>
    <n v="4857"/>
    <n v="7109"/>
  </r>
  <r>
    <d v="2012-10-20T00:00:00"/>
    <x v="3"/>
    <x v="1"/>
    <x v="9"/>
    <n v="0"/>
    <x v="6"/>
    <x v="0"/>
    <x v="1"/>
    <n v="484167"/>
    <n v="472842"/>
    <n v="572917"/>
    <n v="117537"/>
    <n v="2806"/>
    <n v="5284"/>
    <n v="8090"/>
  </r>
  <r>
    <d v="2012-10-27T00:00:00"/>
    <x v="3"/>
    <x v="1"/>
    <x v="9"/>
    <n v="0"/>
    <x v="6"/>
    <x v="0"/>
    <x v="0"/>
    <n v="53"/>
    <n v="515133"/>
    <n v="72"/>
    <n v="235692"/>
    <n v="2643"/>
    <n v="5209"/>
    <n v="7852"/>
  </r>
  <r>
    <d v="2012-11-03T00:00:00"/>
    <x v="3"/>
    <x v="1"/>
    <x v="10"/>
    <n v="0"/>
    <x v="6"/>
    <x v="0"/>
    <x v="0"/>
    <n v="343333"/>
    <n v="323846"/>
    <n v="49125"/>
    <n v="270529"/>
    <n v="1029"/>
    <n v="4109"/>
    <n v="5138"/>
  </r>
  <r>
    <d v="2012-11-10T00:00:00"/>
    <x v="3"/>
    <x v="1"/>
    <x v="10"/>
    <n v="0"/>
    <x v="6"/>
    <x v="0"/>
    <x v="1"/>
    <n v="389167"/>
    <n v="393937"/>
    <n v="645417"/>
    <n v="578458"/>
    <n v="2090"/>
    <n v="4446"/>
    <n v="6536"/>
  </r>
  <r>
    <d v="2012-11-17T00:00:00"/>
    <x v="3"/>
    <x v="1"/>
    <x v="10"/>
    <n v="0"/>
    <x v="6"/>
    <x v="0"/>
    <x v="1"/>
    <n v="325"/>
    <n v="326383"/>
    <n v="545417"/>
    <n v="179729"/>
    <n v="1313"/>
    <n v="4316"/>
    <n v="5629"/>
  </r>
  <r>
    <d v="2012-11-24T00:00:00"/>
    <x v="3"/>
    <x v="1"/>
    <x v="10"/>
    <n v="0"/>
    <x v="6"/>
    <x v="0"/>
    <x v="1"/>
    <n v="278333"/>
    <n v="248742"/>
    <n v="404583"/>
    <n v="376871"/>
    <n v="532"/>
    <n v="1745"/>
    <n v="2277"/>
  </r>
  <r>
    <d v="2012-12-01T00:00:00"/>
    <x v="3"/>
    <x v="1"/>
    <x v="11"/>
    <n v="0"/>
    <x v="6"/>
    <x v="0"/>
    <x v="0"/>
    <n v="298333"/>
    <n v="316904"/>
    <n v="806667"/>
    <n v="597042"/>
    <n v="951"/>
    <n v="4240"/>
    <n v="5191"/>
  </r>
  <r>
    <d v="2012-12-08T00:00:00"/>
    <x v="3"/>
    <x v="1"/>
    <x v="11"/>
    <n v="0"/>
    <x v="6"/>
    <x v="0"/>
    <x v="0"/>
    <n v="381667"/>
    <n v="389508"/>
    <n v="91125"/>
    <n v="101379"/>
    <n v="1153"/>
    <n v="4429"/>
    <n v="5582"/>
  </r>
  <r>
    <d v="2012-12-15T00:00:00"/>
    <x v="3"/>
    <x v="1"/>
    <x v="11"/>
    <n v="0"/>
    <x v="6"/>
    <x v="0"/>
    <x v="1"/>
    <n v="324167"/>
    <n v="338383"/>
    <n v="650417"/>
    <n v="10635"/>
    <n v="767"/>
    <n v="4280"/>
    <n v="5047"/>
  </r>
  <r>
    <d v="2012-12-22T00:00:00"/>
    <x v="0"/>
    <x v="1"/>
    <x v="11"/>
    <n v="0"/>
    <x v="6"/>
    <x v="0"/>
    <x v="1"/>
    <n v="265833"/>
    <n v="236113"/>
    <n v="44125"/>
    <n v="407346"/>
    <n v="205"/>
    <n v="1544"/>
    <n v="1749"/>
  </r>
  <r>
    <d v="2012-12-29T00:00:00"/>
    <x v="0"/>
    <x v="1"/>
    <x v="11"/>
    <n v="0"/>
    <x v="6"/>
    <x v="0"/>
    <x v="0"/>
    <n v="253333"/>
    <n v="2424"/>
    <n v="752917"/>
    <n v="124383"/>
    <n v="159"/>
    <n v="1182"/>
    <n v="134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20831A-0C0D-4159-86E7-2EBF512AB749}" name="PivotTable8" cacheId="0"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chartFormat="9">
  <location ref="G3:H16" firstHeaderRow="1" firstDataRow="1" firstDataCol="1" rowPageCount="1" colPageCount="1"/>
  <pivotFields count="15">
    <pivotField numFmtId="14" showAll="0"/>
    <pivotField showAll="0">
      <items count="5">
        <item x="0"/>
        <item x="1"/>
        <item x="2"/>
        <item x="3"/>
        <item t="default"/>
      </items>
    </pivotField>
    <pivotField axis="axisPage" showAll="0">
      <items count="3">
        <item x="0"/>
        <item x="1"/>
        <item t="default"/>
      </items>
    </pivotField>
    <pivotField axis="axisRow" showAll="0">
      <items count="13">
        <item x="0"/>
        <item x="1"/>
        <item x="2"/>
        <item x="3"/>
        <item x="4"/>
        <item x="5"/>
        <item x="6"/>
        <item x="7"/>
        <item x="8"/>
        <item x="9"/>
        <item x="10"/>
        <item x="11"/>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dataField="1" showAll="0"/>
  </pivotFields>
  <rowFields count="1">
    <field x="3"/>
  </rowFields>
  <rowItems count="13">
    <i>
      <x/>
    </i>
    <i>
      <x v="1"/>
    </i>
    <i>
      <x v="2"/>
    </i>
    <i>
      <x v="3"/>
    </i>
    <i>
      <x v="4"/>
    </i>
    <i>
      <x v="5"/>
    </i>
    <i>
      <x v="6"/>
    </i>
    <i>
      <x v="7"/>
    </i>
    <i>
      <x v="8"/>
    </i>
    <i>
      <x v="9"/>
    </i>
    <i>
      <x v="10"/>
    </i>
    <i>
      <x v="11"/>
    </i>
    <i t="grand">
      <x/>
    </i>
  </rowItems>
  <colItems count="1">
    <i/>
  </colItems>
  <pageFields count="1">
    <pageField fld="2" item="1" hier="-1"/>
  </pageFields>
  <dataFields count="1">
    <dataField name="Jumlah sewa" fld="14" baseField="3"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CEE71C-2A61-48F8-8BB9-8407EC9E9C94}" name="PivotTable6" cacheId="0"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location ref="A3:E16" firstHeaderRow="0" firstDataRow="1" firstDataCol="1" rowPageCount="1" colPageCount="1"/>
  <pivotFields count="15">
    <pivotField numFmtId="14" showAll="0"/>
    <pivotField showAll="0">
      <items count="5">
        <item x="0"/>
        <item x="1"/>
        <item x="2"/>
        <item x="3"/>
        <item t="default"/>
      </items>
    </pivotField>
    <pivotField axis="axisPage" showAll="0">
      <items count="3">
        <item x="0"/>
        <item x="1"/>
        <item t="default"/>
      </items>
    </pivotField>
    <pivotField axis="axisRow" showAll="0">
      <items count="13">
        <item x="0"/>
        <item x="1"/>
        <item x="2"/>
        <item x="3"/>
        <item x="4"/>
        <item x="5"/>
        <item x="6"/>
        <item x="7"/>
        <item x="8"/>
        <item x="9"/>
        <item x="10"/>
        <item x="11"/>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dataField="1" showAll="0"/>
  </pivotFields>
  <rowFields count="1">
    <field x="3"/>
  </rowFields>
  <rowItems count="13">
    <i>
      <x/>
    </i>
    <i>
      <x v="1"/>
    </i>
    <i>
      <x v="2"/>
    </i>
    <i>
      <x v="3"/>
    </i>
    <i>
      <x v="4"/>
    </i>
    <i>
      <x v="5"/>
    </i>
    <i>
      <x v="6"/>
    </i>
    <i>
      <x v="7"/>
    </i>
    <i>
      <x v="8"/>
    </i>
    <i>
      <x v="9"/>
    </i>
    <i>
      <x v="10"/>
    </i>
    <i>
      <x v="11"/>
    </i>
    <i t="grand">
      <x/>
    </i>
  </rowItems>
  <colFields count="1">
    <field x="-2"/>
  </colFields>
  <colItems count="4">
    <i>
      <x/>
    </i>
    <i i="1">
      <x v="1"/>
    </i>
    <i i="2">
      <x v="2"/>
    </i>
    <i i="3">
      <x v="3"/>
    </i>
  </colItems>
  <pageFields count="1">
    <pageField fld="2" item="1" hier="-1"/>
  </pageFields>
  <dataFields count="4">
    <dataField name="Jumlah sewa" fld="14" baseField="3" baseItem="0"/>
    <dataField name="Rata-rata sewa" fld="14" subtotal="average" baseField="3" baseItem="0"/>
    <dataField name="Maks sewa" fld="14" subtotal="max" baseField="3" baseItem="0"/>
    <dataField name="Min sewa" fld="14" subtotal="min"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2A5DBD-C39D-4A63-9BBE-A586E02C8276}" name="PivotTable10" cacheId="0"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chartFormat="8">
  <location ref="A18:B21" firstHeaderRow="1" firstDataRow="1" firstDataCol="1"/>
  <pivotFields count="15">
    <pivotField numFmtId="14"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2"/>
  </rowFields>
  <rowItems count="3">
    <i>
      <x/>
    </i>
    <i>
      <x v="1"/>
    </i>
    <i t="grand">
      <x/>
    </i>
  </rowItems>
  <colItems count="1">
    <i/>
  </colItems>
  <dataFields count="1">
    <dataField name="Jumlah sewa" fld="14" baseField="2"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A81C71-E5DD-4F7C-9EF0-2B7DB3FC613D}" name="PivotTable5" cacheId="0"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chartFormat="8">
  <location ref="G3:H8" firstHeaderRow="1" firstDataRow="1" firstDataCol="1" rowPageCount="1" colPageCount="1"/>
  <pivotFields count="15">
    <pivotField numFmtId="14" showAll="0"/>
    <pivotField axis="axisRow" showAll="0">
      <items count="5">
        <item x="0"/>
        <item x="1"/>
        <item x="2"/>
        <item x="3"/>
        <item t="default"/>
      </items>
    </pivotField>
    <pivotField axis="axisPage" showAll="0">
      <items count="3">
        <item x="0"/>
        <item x="1"/>
        <item t="default"/>
      </items>
    </pivotField>
    <pivotField showAll="0">
      <items count="13">
        <item x="0"/>
        <item x="1"/>
        <item x="2"/>
        <item x="3"/>
        <item x="4"/>
        <item x="5"/>
        <item x="6"/>
        <item x="7"/>
        <item x="8"/>
        <item x="9"/>
        <item x="10"/>
        <item x="11"/>
        <item t="default"/>
      </items>
    </pivotField>
    <pivotField showAll="0"/>
    <pivotField showAll="0"/>
    <pivotField showAll="0">
      <items count="3">
        <item x="0"/>
        <item x="1"/>
        <item t="default"/>
      </items>
    </pivotField>
    <pivotField showAll="0">
      <items count="4">
        <item x="1"/>
        <item x="0"/>
        <item x="2"/>
        <item t="default"/>
      </items>
    </pivotField>
    <pivotField showAll="0"/>
    <pivotField showAll="0"/>
    <pivotField showAll="0"/>
    <pivotField showAll="0"/>
    <pivotField showAll="0"/>
    <pivotField showAll="0"/>
    <pivotField dataField="1" showAll="0"/>
  </pivotFields>
  <rowFields count="1">
    <field x="1"/>
  </rowFields>
  <rowItems count="5">
    <i>
      <x/>
    </i>
    <i>
      <x v="1"/>
    </i>
    <i>
      <x v="2"/>
    </i>
    <i>
      <x v="3"/>
    </i>
    <i t="grand">
      <x/>
    </i>
  </rowItems>
  <colItems count="1">
    <i/>
  </colItems>
  <pageFields count="1">
    <pageField fld="2" item="1" hier="-1"/>
  </pageFields>
  <dataFields count="1">
    <dataField name="Rata-rata sewa" fld="14" subtotal="average" baseField="1"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2489D1-1C99-4FF5-96ED-FAF07A64827B}" name="PivotTable4" cacheId="0"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location ref="A3:E20" firstHeaderRow="0" firstDataRow="1" firstDataCol="1" rowPageCount="1" colPageCount="1"/>
  <pivotFields count="15">
    <pivotField numFmtId="14" showAll="0"/>
    <pivotField axis="axisRow" showAll="0">
      <items count="5">
        <item x="0"/>
        <item x="1"/>
        <item x="2"/>
        <item x="3"/>
        <item t="default"/>
      </items>
    </pivotField>
    <pivotField axis="axisPage" showAll="0">
      <items count="3">
        <item x="0"/>
        <item x="1"/>
        <item t="default"/>
      </items>
    </pivotField>
    <pivotField showAll="0">
      <items count="13">
        <item h="1" x="0"/>
        <item h="1" x="1"/>
        <item h="1" x="2"/>
        <item h="1" x="3"/>
        <item h="1" x="4"/>
        <item h="1" x="5"/>
        <item h="1" x="6"/>
        <item x="7"/>
        <item h="1" x="8"/>
        <item h="1" x="9"/>
        <item h="1" x="10"/>
        <item h="1" x="11"/>
        <item t="default"/>
      </items>
    </pivotField>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dataField="1" showAll="0"/>
  </pivotFields>
  <rowFields count="2">
    <field x="1"/>
    <field x="7"/>
  </rowFields>
  <rowItems count="17">
    <i>
      <x/>
    </i>
    <i r="1">
      <x/>
    </i>
    <i r="1">
      <x v="1"/>
    </i>
    <i r="1">
      <x v="2"/>
    </i>
    <i>
      <x v="1"/>
    </i>
    <i r="1">
      <x/>
    </i>
    <i r="1">
      <x v="1"/>
    </i>
    <i r="1">
      <x v="2"/>
    </i>
    <i>
      <x v="2"/>
    </i>
    <i r="1">
      <x/>
    </i>
    <i r="1">
      <x v="1"/>
    </i>
    <i r="1">
      <x v="2"/>
    </i>
    <i>
      <x v="3"/>
    </i>
    <i r="1">
      <x/>
    </i>
    <i r="1">
      <x v="1"/>
    </i>
    <i r="1">
      <x v="2"/>
    </i>
    <i t="grand">
      <x/>
    </i>
  </rowItems>
  <colFields count="1">
    <field x="-2"/>
  </colFields>
  <colItems count="4">
    <i>
      <x/>
    </i>
    <i i="1">
      <x v="1"/>
    </i>
    <i i="2">
      <x v="2"/>
    </i>
    <i i="3">
      <x v="3"/>
    </i>
  </colItems>
  <pageFields count="1">
    <pageField fld="2" hier="-1"/>
  </pageFields>
  <dataFields count="4">
    <dataField name="Jumlah sewa" fld="14" baseField="1" baseItem="0"/>
    <dataField name="Rata-rata sewa" fld="14" subtotal="average" baseField="1" baseItem="0"/>
    <dataField name="Maks sewa" fld="14" subtotal="max" baseField="1" baseItem="0"/>
    <dataField name="Min sewa" fld="14" subtotal="min"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ABA9E7-431B-4FE0-9B02-B40A19B08838}" name="PivotTable3" cacheId="0"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chartFormat="6">
  <location ref="G3:H11" firstHeaderRow="1" firstDataRow="1" firstDataCol="1" rowPageCount="1" colPageCount="1"/>
  <pivotFields count="15">
    <pivotField numFmtId="14" showAll="0"/>
    <pivotField showAll="0">
      <items count="5">
        <item x="0"/>
        <item x="1"/>
        <item x="2"/>
        <item x="3"/>
        <item t="default"/>
      </items>
    </pivotField>
    <pivotField axis="axisPage" showAll="0">
      <items count="3">
        <item x="0"/>
        <item x="1"/>
        <item t="default"/>
      </items>
    </pivotField>
    <pivotField showAll="0">
      <items count="13">
        <item x="0"/>
        <item x="1"/>
        <item x="2"/>
        <item x="3"/>
        <item x="4"/>
        <item x="5"/>
        <item x="6"/>
        <item x="7"/>
        <item x="8"/>
        <item x="9"/>
        <item x="10"/>
        <item x="11"/>
        <item t="default"/>
      </items>
    </pivotField>
    <pivotField showAll="0"/>
    <pivotField axis="axisRow" showAll="0">
      <items count="8">
        <item x="0"/>
        <item x="1"/>
        <item x="2"/>
        <item x="3"/>
        <item x="4"/>
        <item x="5"/>
        <item x="6"/>
        <item t="default"/>
      </items>
    </pivotField>
    <pivotField showAll="0">
      <items count="3">
        <item x="0"/>
        <item x="1"/>
        <item t="default"/>
      </items>
    </pivotField>
    <pivotField showAll="0">
      <items count="4">
        <item x="1"/>
        <item x="0"/>
        <item x="2"/>
        <item t="default"/>
      </items>
    </pivotField>
    <pivotField showAll="0"/>
    <pivotField showAll="0"/>
    <pivotField showAll="0"/>
    <pivotField showAll="0"/>
    <pivotField showAll="0"/>
    <pivotField showAll="0"/>
    <pivotField dataField="1" showAll="0"/>
  </pivotFields>
  <rowFields count="1">
    <field x="5"/>
  </rowFields>
  <rowItems count="8">
    <i>
      <x/>
    </i>
    <i>
      <x v="1"/>
    </i>
    <i>
      <x v="2"/>
    </i>
    <i>
      <x v="3"/>
    </i>
    <i>
      <x v="4"/>
    </i>
    <i>
      <x v="5"/>
    </i>
    <i>
      <x v="6"/>
    </i>
    <i t="grand">
      <x/>
    </i>
  </rowItems>
  <colItems count="1">
    <i/>
  </colItems>
  <pageFields count="1">
    <pageField fld="2" item="1" hier="-1"/>
  </pageFields>
  <dataFields count="1">
    <dataField name="Rata-rata sewa" fld="14" subtotal="average" baseField="5"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3C550AA-E296-48D4-8001-BF6106C4B093}" name="PivotTable2" cacheId="0"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location ref="A3:E23" firstHeaderRow="0" firstDataRow="1" firstDataCol="1" rowPageCount="1" colPageCount="1"/>
  <pivotFields count="15">
    <pivotField numFmtId="14" showAll="0"/>
    <pivotField showAll="0"/>
    <pivotField axis="axisPage" showAll="0">
      <items count="3">
        <item x="0"/>
        <item x="1"/>
        <item t="default"/>
      </items>
    </pivotField>
    <pivotField showAll="0"/>
    <pivotField showAll="0"/>
    <pivotField axis="axisRow" showAll="0">
      <items count="8">
        <item x="0"/>
        <item x="1"/>
        <item x="2"/>
        <item x="3"/>
        <item x="4"/>
        <item x="5"/>
        <item x="6"/>
        <item t="default"/>
      </items>
    </pivotField>
    <pivotField axis="axisRow" showAll="0">
      <items count="3">
        <item x="0"/>
        <item x="1"/>
        <item t="default"/>
      </items>
    </pivotField>
    <pivotField showAll="0">
      <items count="4">
        <item x="1"/>
        <item x="0"/>
        <item x="2"/>
        <item t="default"/>
      </items>
    </pivotField>
    <pivotField showAll="0"/>
    <pivotField showAll="0"/>
    <pivotField showAll="0"/>
    <pivotField showAll="0"/>
    <pivotField showAll="0"/>
    <pivotField showAll="0"/>
    <pivotField dataField="1" showAll="0"/>
  </pivotFields>
  <rowFields count="2">
    <field x="5"/>
    <field x="6"/>
  </rowFields>
  <rowItems count="20">
    <i>
      <x/>
    </i>
    <i r="1">
      <x/>
    </i>
    <i>
      <x v="1"/>
    </i>
    <i r="1">
      <x/>
    </i>
    <i r="1">
      <x v="1"/>
    </i>
    <i>
      <x v="2"/>
    </i>
    <i r="1">
      <x/>
    </i>
    <i r="1">
      <x v="1"/>
    </i>
    <i>
      <x v="3"/>
    </i>
    <i r="1">
      <x/>
    </i>
    <i r="1">
      <x v="1"/>
    </i>
    <i>
      <x v="4"/>
    </i>
    <i r="1">
      <x/>
    </i>
    <i r="1">
      <x v="1"/>
    </i>
    <i>
      <x v="5"/>
    </i>
    <i r="1">
      <x/>
    </i>
    <i r="1">
      <x v="1"/>
    </i>
    <i>
      <x v="6"/>
    </i>
    <i r="1">
      <x/>
    </i>
    <i t="grand">
      <x/>
    </i>
  </rowItems>
  <colFields count="1">
    <field x="-2"/>
  </colFields>
  <colItems count="4">
    <i>
      <x/>
    </i>
    <i i="1">
      <x v="1"/>
    </i>
    <i i="2">
      <x v="2"/>
    </i>
    <i i="3">
      <x v="3"/>
    </i>
  </colItems>
  <pageFields count="1">
    <pageField fld="2" hier="-1"/>
  </pageFields>
  <dataFields count="4">
    <dataField name="Jumlah sewa" fld="14" baseField="5" baseItem="0"/>
    <dataField name="Rata-rata sewa" fld="14" subtotal="average" baseField="5" baseItem="0"/>
    <dataField name="Maks sewa" fld="14" subtotal="max" baseField="5" baseItem="0"/>
    <dataField name="Min sewa" fld="14" subtotal="min"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6491647-5309-46FA-88CA-F739F44AE532}" autoFormatId="16" applyNumberFormats="0" applyBorderFormats="0" applyFontFormats="0" applyPatternFormats="0" applyAlignmentFormats="0" applyWidthHeightFormats="0">
  <queryTableRefresh nextId="23">
    <queryTableFields count="15">
      <queryTableField id="1" name="dteday" tableColumnId="1"/>
      <queryTableField id="2" name="season" tableColumnId="2"/>
      <queryTableField id="3" name="yr" tableColumnId="3"/>
      <queryTableField id="4" name="mnth" tableColumnId="4"/>
      <queryTableField id="5" name="holiday" tableColumnId="5"/>
      <queryTableField id="6" name="weekday" tableColumnId="6"/>
      <queryTableField id="7" name="workingday" tableColumnId="7"/>
      <queryTableField id="8" name="weathersit" tableColumnId="8"/>
      <queryTableField id="9" name="temp" tableColumnId="9"/>
      <queryTableField id="10" name="atemp" tableColumnId="10"/>
      <queryTableField id="11" name="hum" tableColumnId="11"/>
      <queryTableField id="12" name="windspeed" tableColumnId="12"/>
      <queryTableField id="13" name="casual" tableColumnId="13"/>
      <queryTableField id="14" name="registered" tableColumnId="14"/>
      <queryTableField id="15" name="cnt" tableColumnId="15"/>
    </queryTableFields>
    <queryTableDeletedFields count="6">
      <deletedField name="Q1"/>
      <deletedField name="Q3"/>
      <deletedField name="Median"/>
      <deletedField name="_1"/>
      <deletedField name="_2"/>
      <deletedField name="Column1"/>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yr" xr10:uid="{9498C104-D244-47CA-B524-F7486788E6DD}" sourceName="yr">
  <pivotTables>
    <pivotTable tabId="4" name="PivotTable5"/>
    <pivotTable tabId="5" name="PivotTable6"/>
    <pivotTable tabId="7" name="PivotTable3"/>
    <pivotTable tabId="5" name="PivotTable8"/>
  </pivotTables>
  <data>
    <tabular pivotCacheId="1137242659">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mnth" xr10:uid="{0BB35428-01EB-42BD-AB1A-F0C4998EF20B}" sourceName="mnth">
  <pivotTables>
    <pivotTable tabId="7" name="PivotTable3"/>
    <pivotTable tabId="4" name="PivotTable5"/>
    <pivotTable tabId="5" name="PivotTable6"/>
  </pivotTables>
  <data>
    <tabular pivotCacheId="1137242659">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season" xr10:uid="{8C8C94E3-6492-4D40-9F1D-D97DEC88CE67}" sourceName="season">
  <pivotTables>
    <pivotTable tabId="4" name="PivotTable5"/>
    <pivotTable tabId="5" name="PivotTable6"/>
    <pivotTable tabId="5" name="PivotTable8"/>
    <pivotTable tabId="7" name="PivotTable3"/>
  </pivotTables>
  <data>
    <tabular pivotCacheId="1137242659">
      <items count="4">
        <i x="0"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workingday" xr10:uid="{CE42EEFB-E247-420C-BF35-51ABC8CC5DD1}" sourceName="workingday">
  <pivotTables>
    <pivotTable tabId="4" name="PivotTable5"/>
    <pivotTable tabId="5" name="PivotTable6"/>
    <pivotTable tabId="5" name="PivotTable8"/>
    <pivotTable tabId="7" name="PivotTable3"/>
  </pivotTables>
  <data>
    <tabular pivotCacheId="113724265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ahun" xr10:uid="{2E6A49D6-D00F-4C8B-B24C-15B0162783FB}" cache="Pemotong_yr" caption="yr" rowHeight="241300"/>
  <slicer name="mnth" xr10:uid="{26C51F1C-8491-4A28-8472-CABCC8016706}" cache="Pemotong_mnth" caption="mnth" rowHeight="241300"/>
  <slicer name="season" xr10:uid="{C3480FC4-F829-4A23-8628-D9D3475C73F9}" cache="Pemotong_season" caption="season" rowHeight="241300"/>
  <slicer name="workingday" xr10:uid="{AF6B153C-2D64-4321-B845-15BB2224EF20}" cache="Pemotong_workingday" caption="workingda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81FD44-92D2-40EB-B902-A34F7AFC95A1}" name="day" displayName="day" ref="A1:O732" tableType="queryTable" totalsRowShown="0">
  <autoFilter ref="A1:O732" xr:uid="{0181FD44-92D2-40EB-B902-A34F7AFC95A1}">
    <filterColumn colId="5">
      <filters>
        <filter val="0"/>
        <filter val="6"/>
      </filters>
    </filterColumn>
  </autoFilter>
  <tableColumns count="15">
    <tableColumn id="1" xr3:uid="{64A5C5F3-1F96-4177-ACD9-5B4F472A0DA0}" uniqueName="1" name="dteday" queryTableFieldId="1" dataDxfId="22"/>
    <tableColumn id="2" xr3:uid="{CDFD2D17-3BC2-4956-81B6-D1C2F1856FD0}" uniqueName="2" name="season" queryTableFieldId="2"/>
    <tableColumn id="3" xr3:uid="{36C62E91-428F-48B7-80E9-A9E7EA2F158E}" uniqueName="3" name="yr" queryTableFieldId="3"/>
    <tableColumn id="4" xr3:uid="{C37BCD72-0898-4F80-A99D-D30CB454F2C2}" uniqueName="4" name="mnth" queryTableFieldId="4"/>
    <tableColumn id="5" xr3:uid="{502A389E-68D1-45AE-B929-517379126807}" uniqueName="5" name="holiday" queryTableFieldId="5"/>
    <tableColumn id="6" xr3:uid="{15AD0952-0650-4A32-9206-ABA44AB5217B}" uniqueName="6" name="weekday" queryTableFieldId="6"/>
    <tableColumn id="7" xr3:uid="{8C85CBF8-7DB8-4374-8C05-EF651BC64D10}" uniqueName="7" name="workingday" queryTableFieldId="7"/>
    <tableColumn id="8" xr3:uid="{F349321E-C672-4294-9B53-FCC5C976CD37}" uniqueName="8" name="weathersit" queryTableFieldId="8"/>
    <tableColumn id="9" xr3:uid="{130A2DD4-1A08-49FB-B4B9-7EE3507DDB6D}" uniqueName="9" name="temp" queryTableFieldId="9"/>
    <tableColumn id="10" xr3:uid="{317D9041-024E-41D5-9A75-5F2A09A39EFE}" uniqueName="10" name="atemp" queryTableFieldId="10"/>
    <tableColumn id="11" xr3:uid="{A6B4D699-101F-4089-8ADC-E1BB6D742052}" uniqueName="11" name="hum" queryTableFieldId="11"/>
    <tableColumn id="12" xr3:uid="{2D856564-0FA3-478F-B54B-299F5B55F6EE}" uniqueName="12" name="windspeed" queryTableFieldId="12"/>
    <tableColumn id="13" xr3:uid="{67D6237E-52F9-45E3-921D-0448F5CE7207}" uniqueName="13" name="casual" queryTableFieldId="13"/>
    <tableColumn id="14" xr3:uid="{35D2FB50-D71D-40B1-BF94-44F568843723}" uniqueName="14" name="registered" queryTableFieldId="14"/>
    <tableColumn id="15" xr3:uid="{573E70EC-54D3-4913-BAE0-5ED1079254E4}" uniqueName="15" name="cnt" queryTableField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E585C17-5AEC-49D3-9011-2AA5683B46D4}" name="Tabel3" displayName="Tabel3" ref="A3:K10" totalsRowShown="0">
  <autoFilter ref="A3:K10" xr:uid="{AE585C17-5AEC-49D3-9011-2AA5683B46D4}"/>
  <tableColumns count="11">
    <tableColumn id="1" xr3:uid="{8D82EC25-4CA2-4498-8BD3-B0F0AC18C873}" name="Kolom1"/>
    <tableColumn id="2" xr3:uid="{96B6AF2C-7478-4464-886D-DAE674C67862}" name="Q1"/>
    <tableColumn id="3" xr3:uid="{890F4354-0418-437E-A750-60CBA55AFE4E}" name="Q3"/>
    <tableColumn id="4" xr3:uid="{F23934D5-31FB-44AC-A639-CB6225ABF790}" name="Median"/>
    <tableColumn id="5" xr3:uid="{11006051-561E-4611-8B68-0222188D4DBB}" name="max"/>
    <tableColumn id="6" xr3:uid="{6E825025-1F41-4353-8D5A-A386F8954843}" name="min"/>
    <tableColumn id="7" xr3:uid="{F8BD9EE9-AEC2-4248-9427-562F08B35CB0}" name="whisker-" dataDxfId="21">
      <calculatedColumnFormula>Tabel3[[#This Row],[Q1]]-Tabel3[[#This Row],[min]]</calculatedColumnFormula>
    </tableColumn>
    <tableColumn id="8" xr3:uid="{88ABC69C-BCF9-4BAF-A944-2182FD350E5C}" name="whisker+" dataDxfId="20">
      <calculatedColumnFormula>Tabel3[[#This Row],[max]]-Tabel3[[#This Row],[Q3]]</calculatedColumnFormula>
    </tableColumn>
    <tableColumn id="9" xr3:uid="{3AD96D87-91D6-4869-A690-1AF79003E064}" name="Bottom"/>
    <tableColumn id="10" xr3:uid="{5FE34B44-C8CC-4EA9-9961-BBEF4A2D0AAF}" name="2Q" dataDxfId="19">
      <calculatedColumnFormula>Tabel3[[#This Row],[Median]]-Tabel3[[#This Row],[Q1]]</calculatedColumnFormula>
    </tableColumn>
    <tableColumn id="11" xr3:uid="{2006E9F5-298B-4813-B6C4-BC9EE565D4CE}" name="3Q" dataDxfId="18">
      <calculatedColumnFormula>Tabel3[[#This Row],[Q3]]-Tabel3[[#This Row],[Median]]</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FDBAE50-D762-4618-B6A6-F04441794259}" name="Tabel4" displayName="Tabel4" ref="A12:D19" totalsRowShown="0" headerRowDxfId="17" dataDxfId="15" headerRowBorderDxfId="16" tableBorderDxfId="14" totalsRowBorderDxfId="13">
  <autoFilter ref="A12:D19" xr:uid="{FFDBAE50-D762-4618-B6A6-F04441794259}"/>
  <tableColumns count="4">
    <tableColumn id="1" xr3:uid="{E61E1B19-70A2-4F4B-ADC0-90469C55CA3B}" name="Kolom1" dataDxfId="12"/>
    <tableColumn id="2" xr3:uid="{82D77660-CDEF-4A9B-9CA3-C7F5CB38978D}" name="Bottom" dataDxfId="11"/>
    <tableColumn id="3" xr3:uid="{2CBC415A-4ECB-416C-9937-736C4D184488}" name="2Q" dataDxfId="10"/>
    <tableColumn id="4" xr3:uid="{E4ED6C38-0457-4431-8C51-A7DCF671C486}" name="3Q" dataDxfId="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BC14013-C14D-4641-8B3B-B4D8D93B8F19}" name="Tabel49" displayName="Tabel49" ref="M3:P10" totalsRowShown="0" headerRowDxfId="8" dataDxfId="6" headerRowBorderDxfId="7" tableBorderDxfId="5" totalsRowBorderDxfId="4">
  <autoFilter ref="M3:P10" xr:uid="{BBC14013-C14D-4641-8B3B-B4D8D93B8F19}"/>
  <tableColumns count="4">
    <tableColumn id="1" xr3:uid="{C75FB2E8-8D1E-4CCE-9982-FEDF2524E127}" name="Kolom1" dataDxfId="3"/>
    <tableColumn id="2" xr3:uid="{591556DA-2C4B-4CF4-9759-9E2F3A82C9BF}" name="Bottom" dataDxfId="2"/>
    <tableColumn id="3" xr3:uid="{174D80CC-9FD1-410F-B3CD-13B160A456F3}" name="2Q" dataDxfId="1"/>
    <tableColumn id="4" xr3:uid="{D1E0965D-FCC0-4B77-B146-DC31BE0D5F03}" name="3Q" dataDxfId="0"/>
  </tableColumns>
  <tableStyleInfo name="TableStyleMedium2" showFirstColumn="0" showLastColumn="0" showRowStripes="1" showColumnStripes="0"/>
</table>
</file>

<file path=xl/theme/theme1.xml><?xml version="1.0" encoding="utf-8"?>
<a:theme xmlns:a="http://schemas.openxmlformats.org/drawingml/2006/main" name="Tema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1671B-B101-41F6-AC9E-6784310371E1}">
  <dimension ref="A1:O732"/>
  <sheetViews>
    <sheetView topLeftCell="A2" zoomScale="81" workbookViewId="0">
      <selection activeCell="B15" sqref="B15"/>
    </sheetView>
  </sheetViews>
  <sheetFormatPr defaultRowHeight="15" x14ac:dyDescent="0.25"/>
  <cols>
    <col min="1" max="1" width="12.140625" customWidth="1"/>
    <col min="2" max="2" width="9.42578125" customWidth="1"/>
    <col min="3" max="3" width="5" customWidth="1"/>
    <col min="4" max="4" width="8" customWidth="1"/>
    <col min="5" max="5" width="9.85546875" customWidth="1"/>
    <col min="6" max="6" width="11.28515625" customWidth="1"/>
    <col min="7" max="7" width="13.5703125" customWidth="1"/>
    <col min="8" max="8" width="12.85546875" customWidth="1"/>
    <col min="9" max="9" width="8" customWidth="1"/>
    <col min="10" max="10" width="9" customWidth="1"/>
    <col min="11" max="11" width="8.42578125" customWidth="1"/>
    <col min="12" max="12" width="13.140625" customWidth="1"/>
    <col min="13" max="13" width="8.7109375" customWidth="1"/>
    <col min="14" max="14" width="12.42578125" customWidth="1"/>
    <col min="15" max="15" width="6" customWidth="1"/>
    <col min="16" max="16" width="11.140625" customWidth="1"/>
    <col min="17" max="18" width="8" bestFit="1" customWidth="1"/>
    <col min="19" max="19" width="10.140625" bestFit="1" customWidth="1"/>
    <col min="20" max="20" width="7.5703125" bestFit="1" customWidth="1"/>
    <col min="21" max="21" width="7.7109375" bestFit="1"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s="1">
        <v>40545</v>
      </c>
      <c r="B2">
        <v>1</v>
      </c>
      <c r="C2">
        <v>0</v>
      </c>
      <c r="D2">
        <v>1</v>
      </c>
      <c r="E2">
        <v>0</v>
      </c>
      <c r="F2">
        <v>0</v>
      </c>
      <c r="G2">
        <v>0</v>
      </c>
      <c r="H2">
        <v>2</v>
      </c>
      <c r="I2">
        <v>363478</v>
      </c>
      <c r="J2">
        <v>353739</v>
      </c>
      <c r="K2">
        <v>696087</v>
      </c>
      <c r="L2">
        <v>248539</v>
      </c>
      <c r="M2">
        <v>131</v>
      </c>
      <c r="N2">
        <v>670</v>
      </c>
      <c r="O2">
        <v>801</v>
      </c>
    </row>
    <row r="3" spans="1:15" x14ac:dyDescent="0.25">
      <c r="A3" s="1">
        <v>40552</v>
      </c>
      <c r="B3">
        <v>1</v>
      </c>
      <c r="C3">
        <v>0</v>
      </c>
      <c r="D3">
        <v>1</v>
      </c>
      <c r="E3">
        <v>0</v>
      </c>
      <c r="F3">
        <v>0</v>
      </c>
      <c r="G3">
        <v>0</v>
      </c>
      <c r="H3">
        <v>1</v>
      </c>
      <c r="I3">
        <v>138333</v>
      </c>
      <c r="J3">
        <v>116175</v>
      </c>
      <c r="K3">
        <v>434167</v>
      </c>
      <c r="L3">
        <v>36195</v>
      </c>
      <c r="M3">
        <v>54</v>
      </c>
      <c r="N3">
        <v>768</v>
      </c>
      <c r="O3">
        <v>822</v>
      </c>
    </row>
    <row r="4" spans="1:15" x14ac:dyDescent="0.25">
      <c r="A4" s="1">
        <v>40559</v>
      </c>
      <c r="B4">
        <v>1</v>
      </c>
      <c r="C4">
        <v>0</v>
      </c>
      <c r="D4">
        <v>1</v>
      </c>
      <c r="E4">
        <v>0</v>
      </c>
      <c r="F4">
        <v>0</v>
      </c>
      <c r="G4">
        <v>0</v>
      </c>
      <c r="H4">
        <v>1</v>
      </c>
      <c r="I4">
        <v>231667</v>
      </c>
      <c r="J4">
        <v>234217</v>
      </c>
      <c r="K4">
        <v>48375</v>
      </c>
      <c r="L4">
        <v>188433</v>
      </c>
      <c r="M4">
        <v>251</v>
      </c>
      <c r="N4">
        <v>953</v>
      </c>
      <c r="O4">
        <v>1204</v>
      </c>
    </row>
    <row r="5" spans="1:15" x14ac:dyDescent="0.25">
      <c r="A5" s="1">
        <v>40566</v>
      </c>
      <c r="B5">
        <v>1</v>
      </c>
      <c r="C5">
        <v>0</v>
      </c>
      <c r="D5">
        <v>1</v>
      </c>
      <c r="E5">
        <v>0</v>
      </c>
      <c r="F5">
        <v>0</v>
      </c>
      <c r="G5">
        <v>0</v>
      </c>
      <c r="H5">
        <v>1</v>
      </c>
      <c r="I5">
        <v>965217</v>
      </c>
      <c r="J5">
        <v>988391</v>
      </c>
      <c r="K5">
        <v>436522</v>
      </c>
      <c r="L5">
        <v>2466</v>
      </c>
      <c r="M5">
        <v>150</v>
      </c>
      <c r="N5">
        <v>836</v>
      </c>
      <c r="O5">
        <v>986</v>
      </c>
    </row>
    <row r="6" spans="1:15" x14ac:dyDescent="0.25">
      <c r="A6" s="1">
        <v>40573</v>
      </c>
      <c r="B6">
        <v>1</v>
      </c>
      <c r="C6">
        <v>0</v>
      </c>
      <c r="D6">
        <v>1</v>
      </c>
      <c r="E6">
        <v>0</v>
      </c>
      <c r="F6">
        <v>0</v>
      </c>
      <c r="G6">
        <v>0</v>
      </c>
      <c r="H6">
        <v>1</v>
      </c>
      <c r="I6">
        <v>216522</v>
      </c>
      <c r="J6">
        <v>250322</v>
      </c>
      <c r="K6">
        <v>722174</v>
      </c>
      <c r="L6">
        <v>739826</v>
      </c>
      <c r="M6">
        <v>140</v>
      </c>
      <c r="N6">
        <v>956</v>
      </c>
      <c r="O6">
        <v>1096</v>
      </c>
    </row>
    <row r="7" spans="1:15" x14ac:dyDescent="0.25">
      <c r="A7" s="1">
        <v>40580</v>
      </c>
      <c r="B7">
        <v>1</v>
      </c>
      <c r="C7">
        <v>0</v>
      </c>
      <c r="D7">
        <v>2</v>
      </c>
      <c r="E7">
        <v>0</v>
      </c>
      <c r="F7">
        <v>0</v>
      </c>
      <c r="G7">
        <v>0</v>
      </c>
      <c r="H7">
        <v>1</v>
      </c>
      <c r="I7">
        <v>285833</v>
      </c>
      <c r="J7">
        <v>291671</v>
      </c>
      <c r="K7">
        <v>568333</v>
      </c>
      <c r="L7">
        <v>1418</v>
      </c>
      <c r="M7">
        <v>354</v>
      </c>
      <c r="N7">
        <v>1269</v>
      </c>
      <c r="O7">
        <v>1623</v>
      </c>
    </row>
    <row r="8" spans="1:15" x14ac:dyDescent="0.25">
      <c r="A8" s="1">
        <v>40587</v>
      </c>
      <c r="B8">
        <v>1</v>
      </c>
      <c r="C8">
        <v>0</v>
      </c>
      <c r="D8">
        <v>2</v>
      </c>
      <c r="E8">
        <v>0</v>
      </c>
      <c r="F8">
        <v>0</v>
      </c>
      <c r="G8">
        <v>0</v>
      </c>
      <c r="H8">
        <v>1</v>
      </c>
      <c r="I8">
        <v>316522</v>
      </c>
      <c r="J8">
        <v>324113</v>
      </c>
      <c r="K8">
        <v>457391</v>
      </c>
      <c r="L8">
        <v>260883</v>
      </c>
      <c r="M8">
        <v>397</v>
      </c>
      <c r="N8">
        <v>1192</v>
      </c>
      <c r="O8">
        <v>1589</v>
      </c>
    </row>
    <row r="9" spans="1:15" x14ac:dyDescent="0.25">
      <c r="A9" s="1">
        <v>40594</v>
      </c>
      <c r="B9">
        <v>1</v>
      </c>
      <c r="C9">
        <v>0</v>
      </c>
      <c r="D9">
        <v>2</v>
      </c>
      <c r="E9">
        <v>0</v>
      </c>
      <c r="F9">
        <v>0</v>
      </c>
      <c r="G9">
        <v>0</v>
      </c>
      <c r="H9">
        <v>1</v>
      </c>
      <c r="I9">
        <v>285217</v>
      </c>
      <c r="J9">
        <v>27733</v>
      </c>
      <c r="K9">
        <v>407826</v>
      </c>
      <c r="L9">
        <v>223235</v>
      </c>
      <c r="M9">
        <v>639</v>
      </c>
      <c r="N9">
        <v>1173</v>
      </c>
      <c r="O9">
        <v>1812</v>
      </c>
    </row>
    <row r="10" spans="1:15" x14ac:dyDescent="0.25">
      <c r="A10" s="1">
        <v>40601</v>
      </c>
      <c r="B10">
        <v>1</v>
      </c>
      <c r="C10">
        <v>0</v>
      </c>
      <c r="D10">
        <v>2</v>
      </c>
      <c r="E10">
        <v>0</v>
      </c>
      <c r="F10">
        <v>0</v>
      </c>
      <c r="G10">
        <v>0</v>
      </c>
      <c r="H10">
        <v>1</v>
      </c>
      <c r="I10">
        <v>343478</v>
      </c>
      <c r="J10">
        <v>351109</v>
      </c>
      <c r="K10">
        <v>68</v>
      </c>
      <c r="L10">
        <v>125248</v>
      </c>
      <c r="M10">
        <v>694</v>
      </c>
      <c r="N10">
        <v>1708</v>
      </c>
      <c r="O10">
        <v>2402</v>
      </c>
    </row>
    <row r="11" spans="1:15" x14ac:dyDescent="0.25">
      <c r="A11" s="1">
        <v>40608</v>
      </c>
      <c r="B11">
        <v>1</v>
      </c>
      <c r="C11">
        <v>0</v>
      </c>
      <c r="D11">
        <v>3</v>
      </c>
      <c r="E11">
        <v>0</v>
      </c>
      <c r="F11">
        <v>0</v>
      </c>
      <c r="G11">
        <v>0</v>
      </c>
      <c r="H11">
        <v>2</v>
      </c>
      <c r="I11">
        <v>376522</v>
      </c>
      <c r="J11">
        <v>366252</v>
      </c>
      <c r="K11">
        <v>948261</v>
      </c>
      <c r="L11">
        <v>343287</v>
      </c>
      <c r="M11">
        <v>114</v>
      </c>
      <c r="N11">
        <v>491</v>
      </c>
      <c r="O11">
        <v>605</v>
      </c>
    </row>
    <row r="12" spans="1:15" x14ac:dyDescent="0.25">
      <c r="A12" s="1">
        <v>40615</v>
      </c>
      <c r="B12">
        <v>1</v>
      </c>
      <c r="C12">
        <v>0</v>
      </c>
      <c r="D12">
        <v>3</v>
      </c>
      <c r="E12">
        <v>0</v>
      </c>
      <c r="F12">
        <v>0</v>
      </c>
      <c r="G12">
        <v>0</v>
      </c>
      <c r="H12">
        <v>1</v>
      </c>
      <c r="I12">
        <v>384348</v>
      </c>
      <c r="J12">
        <v>380091</v>
      </c>
      <c r="K12">
        <v>527391</v>
      </c>
      <c r="L12">
        <v>270604</v>
      </c>
      <c r="M12">
        <v>982</v>
      </c>
      <c r="N12">
        <v>1435</v>
      </c>
      <c r="O12">
        <v>2417</v>
      </c>
    </row>
    <row r="13" spans="1:15" x14ac:dyDescent="0.25">
      <c r="A13" s="1">
        <v>40622</v>
      </c>
      <c r="B13">
        <v>1</v>
      </c>
      <c r="C13">
        <v>0</v>
      </c>
      <c r="D13">
        <v>3</v>
      </c>
      <c r="E13">
        <v>0</v>
      </c>
      <c r="F13">
        <v>0</v>
      </c>
      <c r="G13">
        <v>0</v>
      </c>
      <c r="H13">
        <v>1</v>
      </c>
      <c r="I13">
        <v>3325</v>
      </c>
      <c r="J13">
        <v>32575</v>
      </c>
      <c r="K13">
        <v>47375</v>
      </c>
      <c r="L13">
        <v>207721</v>
      </c>
      <c r="M13">
        <v>1047</v>
      </c>
      <c r="N13">
        <v>1424</v>
      </c>
      <c r="O13">
        <v>2471</v>
      </c>
    </row>
    <row r="14" spans="1:15" x14ac:dyDescent="0.25">
      <c r="A14" s="1">
        <v>40629</v>
      </c>
      <c r="B14">
        <v>2</v>
      </c>
      <c r="C14">
        <v>0</v>
      </c>
      <c r="D14">
        <v>3</v>
      </c>
      <c r="E14">
        <v>0</v>
      </c>
      <c r="F14">
        <v>0</v>
      </c>
      <c r="G14">
        <v>0</v>
      </c>
      <c r="H14">
        <v>2</v>
      </c>
      <c r="I14">
        <v>253043</v>
      </c>
      <c r="J14">
        <v>250339</v>
      </c>
      <c r="K14">
        <v>493913</v>
      </c>
      <c r="L14">
        <v>1843</v>
      </c>
      <c r="M14">
        <v>472</v>
      </c>
      <c r="N14">
        <v>1221</v>
      </c>
      <c r="O14">
        <v>1693</v>
      </c>
    </row>
    <row r="15" spans="1:15" x14ac:dyDescent="0.25">
      <c r="A15" s="1">
        <v>40636</v>
      </c>
      <c r="B15">
        <v>2</v>
      </c>
      <c r="C15">
        <v>0</v>
      </c>
      <c r="D15">
        <v>4</v>
      </c>
      <c r="E15">
        <v>0</v>
      </c>
      <c r="F15">
        <v>0</v>
      </c>
      <c r="G15">
        <v>0</v>
      </c>
      <c r="H15">
        <v>1</v>
      </c>
      <c r="I15">
        <v>378333</v>
      </c>
      <c r="J15">
        <v>378767</v>
      </c>
      <c r="K15">
        <v>48</v>
      </c>
      <c r="L15">
        <v>182213</v>
      </c>
      <c r="M15">
        <v>1651</v>
      </c>
      <c r="N15">
        <v>1598</v>
      </c>
      <c r="O15">
        <v>3249</v>
      </c>
    </row>
    <row r="16" spans="1:15" x14ac:dyDescent="0.25">
      <c r="A16" s="1">
        <v>40643</v>
      </c>
      <c r="B16">
        <v>2</v>
      </c>
      <c r="C16">
        <v>0</v>
      </c>
      <c r="D16">
        <v>4</v>
      </c>
      <c r="E16">
        <v>0</v>
      </c>
      <c r="F16">
        <v>0</v>
      </c>
      <c r="G16">
        <v>0</v>
      </c>
      <c r="H16">
        <v>2</v>
      </c>
      <c r="I16">
        <v>426667</v>
      </c>
      <c r="J16">
        <v>426737</v>
      </c>
      <c r="K16">
        <v>8575</v>
      </c>
      <c r="L16">
        <v>146767</v>
      </c>
      <c r="M16">
        <v>1188</v>
      </c>
      <c r="N16">
        <v>1707</v>
      </c>
      <c r="O16">
        <v>2895</v>
      </c>
    </row>
    <row r="17" spans="1:15" x14ac:dyDescent="0.25">
      <c r="A17" s="1">
        <v>40650</v>
      </c>
      <c r="B17">
        <v>2</v>
      </c>
      <c r="C17">
        <v>0</v>
      </c>
      <c r="D17">
        <v>4</v>
      </c>
      <c r="E17">
        <v>0</v>
      </c>
      <c r="F17">
        <v>0</v>
      </c>
      <c r="G17">
        <v>0</v>
      </c>
      <c r="H17">
        <v>1</v>
      </c>
      <c r="I17">
        <v>456667</v>
      </c>
      <c r="J17">
        <v>445696</v>
      </c>
      <c r="K17">
        <v>479583</v>
      </c>
      <c r="L17">
        <v>303496</v>
      </c>
      <c r="M17">
        <v>1558</v>
      </c>
      <c r="N17">
        <v>2186</v>
      </c>
      <c r="O17">
        <v>3744</v>
      </c>
    </row>
    <row r="18" spans="1:15" x14ac:dyDescent="0.25">
      <c r="A18" s="1">
        <v>40657</v>
      </c>
      <c r="B18">
        <v>2</v>
      </c>
      <c r="C18">
        <v>0</v>
      </c>
      <c r="D18">
        <v>4</v>
      </c>
      <c r="E18">
        <v>0</v>
      </c>
      <c r="F18">
        <v>0</v>
      </c>
      <c r="G18">
        <v>0</v>
      </c>
      <c r="H18">
        <v>2</v>
      </c>
      <c r="I18">
        <v>581667</v>
      </c>
      <c r="J18">
        <v>551763</v>
      </c>
      <c r="K18">
        <v>810833</v>
      </c>
      <c r="L18">
        <v>192175</v>
      </c>
      <c r="M18">
        <v>1710</v>
      </c>
      <c r="N18">
        <v>2481</v>
      </c>
      <c r="O18">
        <v>4191</v>
      </c>
    </row>
    <row r="19" spans="1:15" x14ac:dyDescent="0.25">
      <c r="A19" s="1">
        <v>40664</v>
      </c>
      <c r="B19">
        <v>2</v>
      </c>
      <c r="C19">
        <v>0</v>
      </c>
      <c r="D19">
        <v>5</v>
      </c>
      <c r="E19">
        <v>0</v>
      </c>
      <c r="F19">
        <v>0</v>
      </c>
      <c r="G19">
        <v>0</v>
      </c>
      <c r="H19">
        <v>2</v>
      </c>
      <c r="I19">
        <v>451667</v>
      </c>
      <c r="J19">
        <v>448204</v>
      </c>
      <c r="K19">
        <v>762083</v>
      </c>
      <c r="L19">
        <v>106354</v>
      </c>
      <c r="M19">
        <v>1138</v>
      </c>
      <c r="N19">
        <v>2213</v>
      </c>
      <c r="O19">
        <v>3351</v>
      </c>
    </row>
    <row r="20" spans="1:15" x14ac:dyDescent="0.25">
      <c r="A20" s="1">
        <v>40671</v>
      </c>
      <c r="B20">
        <v>2</v>
      </c>
      <c r="C20">
        <v>0</v>
      </c>
      <c r="D20">
        <v>5</v>
      </c>
      <c r="E20">
        <v>0</v>
      </c>
      <c r="F20">
        <v>0</v>
      </c>
      <c r="G20">
        <v>0</v>
      </c>
      <c r="H20">
        <v>1</v>
      </c>
      <c r="I20">
        <v>528333</v>
      </c>
      <c r="J20">
        <v>518933</v>
      </c>
      <c r="K20">
        <v>631667</v>
      </c>
      <c r="L20">
        <v>746375</v>
      </c>
      <c r="M20">
        <v>1401</v>
      </c>
      <c r="N20">
        <v>2932</v>
      </c>
      <c r="O20">
        <v>4333</v>
      </c>
    </row>
    <row r="21" spans="1:15" x14ac:dyDescent="0.25">
      <c r="A21" s="1">
        <v>40678</v>
      </c>
      <c r="B21">
        <v>2</v>
      </c>
      <c r="C21">
        <v>0</v>
      </c>
      <c r="D21">
        <v>5</v>
      </c>
      <c r="E21">
        <v>0</v>
      </c>
      <c r="F21">
        <v>0</v>
      </c>
      <c r="G21">
        <v>0</v>
      </c>
      <c r="H21">
        <v>2</v>
      </c>
      <c r="I21">
        <v>5625</v>
      </c>
      <c r="J21">
        <v>536</v>
      </c>
      <c r="K21">
        <v>867083</v>
      </c>
      <c r="L21">
        <v>152979</v>
      </c>
      <c r="M21">
        <v>1582</v>
      </c>
      <c r="N21">
        <v>2971</v>
      </c>
      <c r="O21">
        <v>4553</v>
      </c>
    </row>
    <row r="22" spans="1:15" x14ac:dyDescent="0.25">
      <c r="A22" s="1">
        <v>40685</v>
      </c>
      <c r="B22">
        <v>2</v>
      </c>
      <c r="C22">
        <v>0</v>
      </c>
      <c r="D22">
        <v>5</v>
      </c>
      <c r="E22">
        <v>0</v>
      </c>
      <c r="F22">
        <v>0</v>
      </c>
      <c r="G22">
        <v>0</v>
      </c>
      <c r="H22">
        <v>1</v>
      </c>
      <c r="I22">
        <v>604167</v>
      </c>
      <c r="J22">
        <v>5745</v>
      </c>
      <c r="K22">
        <v>749583</v>
      </c>
      <c r="L22">
        <v>148008</v>
      </c>
      <c r="M22">
        <v>1576</v>
      </c>
      <c r="N22">
        <v>3084</v>
      </c>
      <c r="O22">
        <v>4660</v>
      </c>
    </row>
    <row r="23" spans="1:15" x14ac:dyDescent="0.25">
      <c r="A23" s="1">
        <v>40692</v>
      </c>
      <c r="B23">
        <v>2</v>
      </c>
      <c r="C23">
        <v>0</v>
      </c>
      <c r="D23">
        <v>5</v>
      </c>
      <c r="E23">
        <v>0</v>
      </c>
      <c r="F23">
        <v>0</v>
      </c>
      <c r="G23">
        <v>0</v>
      </c>
      <c r="H23">
        <v>1</v>
      </c>
      <c r="I23">
        <v>6675</v>
      </c>
      <c r="J23">
        <v>61555</v>
      </c>
      <c r="K23">
        <v>81875</v>
      </c>
      <c r="L23">
        <v>213938</v>
      </c>
      <c r="M23">
        <v>2355</v>
      </c>
      <c r="N23">
        <v>2433</v>
      </c>
      <c r="O23">
        <v>4788</v>
      </c>
    </row>
    <row r="24" spans="1:15" x14ac:dyDescent="0.25">
      <c r="A24" s="1">
        <v>40699</v>
      </c>
      <c r="B24">
        <v>2</v>
      </c>
      <c r="C24">
        <v>0</v>
      </c>
      <c r="D24">
        <v>6</v>
      </c>
      <c r="E24">
        <v>0</v>
      </c>
      <c r="F24">
        <v>0</v>
      </c>
      <c r="G24">
        <v>0</v>
      </c>
      <c r="H24">
        <v>2</v>
      </c>
      <c r="I24">
        <v>648333</v>
      </c>
      <c r="J24">
        <v>616804</v>
      </c>
      <c r="K24">
        <v>6525</v>
      </c>
      <c r="L24">
        <v>138692</v>
      </c>
      <c r="M24">
        <v>1685</v>
      </c>
      <c r="N24">
        <v>3221</v>
      </c>
      <c r="O24">
        <v>4906</v>
      </c>
    </row>
    <row r="25" spans="1:15" x14ac:dyDescent="0.25">
      <c r="A25" s="1">
        <v>40706</v>
      </c>
      <c r="B25">
        <v>2</v>
      </c>
      <c r="C25">
        <v>0</v>
      </c>
      <c r="D25">
        <v>6</v>
      </c>
      <c r="E25">
        <v>0</v>
      </c>
      <c r="F25">
        <v>0</v>
      </c>
      <c r="G25">
        <v>0</v>
      </c>
      <c r="H25">
        <v>1</v>
      </c>
      <c r="I25">
        <v>6925</v>
      </c>
      <c r="J25">
        <v>643325</v>
      </c>
      <c r="K25">
        <v>747917</v>
      </c>
      <c r="L25">
        <v>163567</v>
      </c>
      <c r="M25">
        <v>1467</v>
      </c>
      <c r="N25">
        <v>2993</v>
      </c>
      <c r="O25">
        <v>4460</v>
      </c>
    </row>
    <row r="26" spans="1:15" x14ac:dyDescent="0.25">
      <c r="A26" s="1">
        <v>40713</v>
      </c>
      <c r="B26">
        <v>2</v>
      </c>
      <c r="C26">
        <v>0</v>
      </c>
      <c r="D26">
        <v>6</v>
      </c>
      <c r="E26">
        <v>0</v>
      </c>
      <c r="F26">
        <v>0</v>
      </c>
      <c r="G26">
        <v>0</v>
      </c>
      <c r="H26">
        <v>2</v>
      </c>
      <c r="I26">
        <v>699167</v>
      </c>
      <c r="J26">
        <v>645846</v>
      </c>
      <c r="K26">
        <v>666667</v>
      </c>
      <c r="L26">
        <v>102</v>
      </c>
      <c r="M26">
        <v>1639</v>
      </c>
      <c r="N26">
        <v>3105</v>
      </c>
      <c r="O26">
        <v>4744</v>
      </c>
    </row>
    <row r="27" spans="1:15" x14ac:dyDescent="0.25">
      <c r="A27" s="1">
        <v>40720</v>
      </c>
      <c r="B27">
        <v>3</v>
      </c>
      <c r="C27">
        <v>0</v>
      </c>
      <c r="D27">
        <v>6</v>
      </c>
      <c r="E27">
        <v>0</v>
      </c>
      <c r="F27">
        <v>0</v>
      </c>
      <c r="G27">
        <v>0</v>
      </c>
      <c r="H27">
        <v>1</v>
      </c>
      <c r="I27">
        <v>68</v>
      </c>
      <c r="J27">
        <v>637629</v>
      </c>
      <c r="K27">
        <v>513333</v>
      </c>
      <c r="L27">
        <v>945333</v>
      </c>
      <c r="M27">
        <v>1920</v>
      </c>
      <c r="N27">
        <v>3385</v>
      </c>
      <c r="O27">
        <v>5305</v>
      </c>
    </row>
    <row r="28" spans="1:15" x14ac:dyDescent="0.25">
      <c r="A28" s="1">
        <v>40727</v>
      </c>
      <c r="B28">
        <v>3</v>
      </c>
      <c r="C28">
        <v>0</v>
      </c>
      <c r="D28">
        <v>7</v>
      </c>
      <c r="E28">
        <v>0</v>
      </c>
      <c r="F28">
        <v>0</v>
      </c>
      <c r="G28">
        <v>0</v>
      </c>
      <c r="H28">
        <v>2</v>
      </c>
      <c r="I28">
        <v>716667</v>
      </c>
      <c r="J28">
        <v>668575</v>
      </c>
      <c r="K28">
        <v>6825</v>
      </c>
      <c r="L28">
        <v>228858</v>
      </c>
      <c r="M28">
        <v>2282</v>
      </c>
      <c r="N28">
        <v>2367</v>
      </c>
      <c r="O28">
        <v>4649</v>
      </c>
    </row>
    <row r="29" spans="1:15" x14ac:dyDescent="0.25">
      <c r="A29" s="1">
        <v>40734</v>
      </c>
      <c r="B29">
        <v>3</v>
      </c>
      <c r="C29">
        <v>0</v>
      </c>
      <c r="D29">
        <v>7</v>
      </c>
      <c r="E29">
        <v>0</v>
      </c>
      <c r="F29">
        <v>0</v>
      </c>
      <c r="G29">
        <v>0</v>
      </c>
      <c r="H29">
        <v>1</v>
      </c>
      <c r="I29">
        <v>7475</v>
      </c>
      <c r="J29">
        <v>690025</v>
      </c>
      <c r="K29">
        <v>578333</v>
      </c>
      <c r="L29">
        <v>183471</v>
      </c>
      <c r="M29">
        <v>1743</v>
      </c>
      <c r="N29">
        <v>3138</v>
      </c>
      <c r="O29">
        <v>4881</v>
      </c>
    </row>
    <row r="30" spans="1:15" x14ac:dyDescent="0.25">
      <c r="A30" s="1">
        <v>40741</v>
      </c>
      <c r="B30">
        <v>3</v>
      </c>
      <c r="C30">
        <v>0</v>
      </c>
      <c r="D30">
        <v>7</v>
      </c>
      <c r="E30">
        <v>0</v>
      </c>
      <c r="F30">
        <v>0</v>
      </c>
      <c r="G30">
        <v>0</v>
      </c>
      <c r="H30">
        <v>1</v>
      </c>
      <c r="I30">
        <v>719167</v>
      </c>
      <c r="J30">
        <v>669833</v>
      </c>
      <c r="K30">
        <v>604167</v>
      </c>
      <c r="L30">
        <v>245033</v>
      </c>
      <c r="M30">
        <v>2006</v>
      </c>
      <c r="N30">
        <v>3296</v>
      </c>
      <c r="O30">
        <v>5302</v>
      </c>
    </row>
    <row r="31" spans="1:15" x14ac:dyDescent="0.25">
      <c r="A31" s="1">
        <v>40748</v>
      </c>
      <c r="B31">
        <v>3</v>
      </c>
      <c r="C31">
        <v>0</v>
      </c>
      <c r="D31">
        <v>7</v>
      </c>
      <c r="E31">
        <v>0</v>
      </c>
      <c r="F31">
        <v>0</v>
      </c>
      <c r="G31">
        <v>0</v>
      </c>
      <c r="H31">
        <v>1</v>
      </c>
      <c r="I31">
        <v>83</v>
      </c>
      <c r="J31">
        <v>794829</v>
      </c>
      <c r="K31">
        <v>550833</v>
      </c>
      <c r="L31">
        <v>169171</v>
      </c>
      <c r="M31">
        <v>1050</v>
      </c>
      <c r="N31">
        <v>2556</v>
      </c>
      <c r="O31">
        <v>3606</v>
      </c>
    </row>
    <row r="32" spans="1:15" x14ac:dyDescent="0.25">
      <c r="A32" s="1">
        <v>40755</v>
      </c>
      <c r="B32">
        <v>3</v>
      </c>
      <c r="C32">
        <v>0</v>
      </c>
      <c r="D32">
        <v>7</v>
      </c>
      <c r="E32">
        <v>0</v>
      </c>
      <c r="F32">
        <v>0</v>
      </c>
      <c r="G32">
        <v>0</v>
      </c>
      <c r="H32">
        <v>1</v>
      </c>
      <c r="I32">
        <v>805833</v>
      </c>
      <c r="J32">
        <v>729796</v>
      </c>
      <c r="K32">
        <v>480833</v>
      </c>
      <c r="L32">
        <v>164813</v>
      </c>
      <c r="M32">
        <v>1524</v>
      </c>
      <c r="N32">
        <v>2778</v>
      </c>
      <c r="O32">
        <v>4302</v>
      </c>
    </row>
    <row r="33" spans="1:15" x14ac:dyDescent="0.25">
      <c r="A33" s="1">
        <v>40762</v>
      </c>
      <c r="B33">
        <v>3</v>
      </c>
      <c r="C33">
        <v>0</v>
      </c>
      <c r="D33">
        <v>8</v>
      </c>
      <c r="E33">
        <v>0</v>
      </c>
      <c r="F33">
        <v>0</v>
      </c>
      <c r="G33">
        <v>0</v>
      </c>
      <c r="H33">
        <v>1</v>
      </c>
      <c r="I33">
        <v>7425</v>
      </c>
      <c r="J33">
        <v>715292</v>
      </c>
      <c r="K33">
        <v>752917</v>
      </c>
      <c r="L33">
        <v>201487</v>
      </c>
      <c r="M33">
        <v>1298</v>
      </c>
      <c r="N33">
        <v>2487</v>
      </c>
      <c r="O33">
        <v>3785</v>
      </c>
    </row>
    <row r="34" spans="1:15" x14ac:dyDescent="0.25">
      <c r="A34" s="1">
        <v>40769</v>
      </c>
      <c r="B34">
        <v>3</v>
      </c>
      <c r="C34">
        <v>0</v>
      </c>
      <c r="D34">
        <v>8</v>
      </c>
      <c r="E34">
        <v>0</v>
      </c>
      <c r="F34">
        <v>0</v>
      </c>
      <c r="G34">
        <v>0</v>
      </c>
      <c r="H34">
        <v>2</v>
      </c>
      <c r="I34">
        <v>676667</v>
      </c>
      <c r="J34">
        <v>624388</v>
      </c>
      <c r="K34">
        <v>8175</v>
      </c>
      <c r="L34">
        <v>222633</v>
      </c>
      <c r="M34">
        <v>1338</v>
      </c>
      <c r="N34">
        <v>2482</v>
      </c>
      <c r="O34">
        <v>3820</v>
      </c>
    </row>
    <row r="35" spans="1:15" x14ac:dyDescent="0.25">
      <c r="A35" s="1">
        <v>40776</v>
      </c>
      <c r="B35">
        <v>3</v>
      </c>
      <c r="C35">
        <v>0</v>
      </c>
      <c r="D35">
        <v>8</v>
      </c>
      <c r="E35">
        <v>0</v>
      </c>
      <c r="F35">
        <v>0</v>
      </c>
      <c r="G35">
        <v>0</v>
      </c>
      <c r="H35">
        <v>1</v>
      </c>
      <c r="I35">
        <v>710833</v>
      </c>
      <c r="J35">
        <v>675525</v>
      </c>
      <c r="K35">
        <v>77</v>
      </c>
      <c r="L35">
        <v>248754</v>
      </c>
      <c r="M35">
        <v>1249</v>
      </c>
      <c r="N35">
        <v>2624</v>
      </c>
      <c r="O35">
        <v>3873</v>
      </c>
    </row>
    <row r="36" spans="1:15" x14ac:dyDescent="0.25">
      <c r="A36" s="1">
        <v>40783</v>
      </c>
      <c r="B36">
        <v>3</v>
      </c>
      <c r="C36">
        <v>0</v>
      </c>
      <c r="D36">
        <v>8</v>
      </c>
      <c r="E36">
        <v>0</v>
      </c>
      <c r="F36">
        <v>0</v>
      </c>
      <c r="G36">
        <v>0</v>
      </c>
      <c r="H36">
        <v>1</v>
      </c>
      <c r="I36">
        <v>707059</v>
      </c>
      <c r="J36">
        <v>647959</v>
      </c>
      <c r="K36">
        <v>561765</v>
      </c>
      <c r="L36">
        <v>304659</v>
      </c>
      <c r="M36">
        <v>1415</v>
      </c>
      <c r="N36">
        <v>2919</v>
      </c>
      <c r="O36">
        <v>4334</v>
      </c>
    </row>
    <row r="37" spans="1:15" x14ac:dyDescent="0.25">
      <c r="A37" s="1">
        <v>40790</v>
      </c>
      <c r="B37">
        <v>3</v>
      </c>
      <c r="C37">
        <v>0</v>
      </c>
      <c r="D37">
        <v>9</v>
      </c>
      <c r="E37">
        <v>0</v>
      </c>
      <c r="F37">
        <v>0</v>
      </c>
      <c r="G37">
        <v>0</v>
      </c>
      <c r="H37">
        <v>1</v>
      </c>
      <c r="I37">
        <v>709167</v>
      </c>
      <c r="J37">
        <v>665429</v>
      </c>
      <c r="K37">
        <v>742083</v>
      </c>
      <c r="L37">
        <v>206467</v>
      </c>
      <c r="M37">
        <v>2521</v>
      </c>
      <c r="N37">
        <v>2419</v>
      </c>
      <c r="O37">
        <v>4940</v>
      </c>
    </row>
    <row r="38" spans="1:15" x14ac:dyDescent="0.25">
      <c r="A38" s="1">
        <v>40797</v>
      </c>
      <c r="B38">
        <v>3</v>
      </c>
      <c r="C38">
        <v>0</v>
      </c>
      <c r="D38">
        <v>9</v>
      </c>
      <c r="E38">
        <v>0</v>
      </c>
      <c r="F38">
        <v>0</v>
      </c>
      <c r="G38">
        <v>0</v>
      </c>
      <c r="H38">
        <v>1</v>
      </c>
      <c r="I38">
        <v>653333</v>
      </c>
      <c r="J38">
        <v>609229</v>
      </c>
      <c r="K38">
        <v>71375</v>
      </c>
      <c r="L38">
        <v>115054</v>
      </c>
      <c r="M38">
        <v>1633</v>
      </c>
      <c r="N38">
        <v>3413</v>
      </c>
      <c r="O38">
        <v>5046</v>
      </c>
    </row>
    <row r="39" spans="1:15" x14ac:dyDescent="0.25">
      <c r="A39" s="1">
        <v>40804</v>
      </c>
      <c r="B39">
        <v>3</v>
      </c>
      <c r="C39">
        <v>0</v>
      </c>
      <c r="D39">
        <v>9</v>
      </c>
      <c r="E39">
        <v>0</v>
      </c>
      <c r="F39">
        <v>0</v>
      </c>
      <c r="G39">
        <v>0</v>
      </c>
      <c r="H39">
        <v>1</v>
      </c>
      <c r="I39">
        <v>5075</v>
      </c>
      <c r="J39">
        <v>490537</v>
      </c>
      <c r="K39">
        <v>695</v>
      </c>
      <c r="L39">
        <v>178483</v>
      </c>
      <c r="M39">
        <v>1353</v>
      </c>
      <c r="N39">
        <v>2921</v>
      </c>
      <c r="O39">
        <v>4274</v>
      </c>
    </row>
    <row r="40" spans="1:15" x14ac:dyDescent="0.25">
      <c r="A40" s="1">
        <v>40811</v>
      </c>
      <c r="B40">
        <v>4</v>
      </c>
      <c r="C40">
        <v>0</v>
      </c>
      <c r="D40">
        <v>9</v>
      </c>
      <c r="E40">
        <v>0</v>
      </c>
      <c r="F40">
        <v>0</v>
      </c>
      <c r="G40">
        <v>0</v>
      </c>
      <c r="H40">
        <v>2</v>
      </c>
      <c r="I40">
        <v>634167</v>
      </c>
      <c r="J40">
        <v>572637</v>
      </c>
      <c r="K40">
        <v>845</v>
      </c>
      <c r="L40">
        <v>503792</v>
      </c>
      <c r="M40">
        <v>1544</v>
      </c>
      <c r="N40">
        <v>3466</v>
      </c>
      <c r="O40">
        <v>5010</v>
      </c>
    </row>
    <row r="41" spans="1:15" x14ac:dyDescent="0.25">
      <c r="A41" s="1">
        <v>40818</v>
      </c>
      <c r="B41">
        <v>4</v>
      </c>
      <c r="C41">
        <v>0</v>
      </c>
      <c r="D41">
        <v>10</v>
      </c>
      <c r="E41">
        <v>0</v>
      </c>
      <c r="F41">
        <v>0</v>
      </c>
      <c r="G41">
        <v>0</v>
      </c>
      <c r="H41">
        <v>2</v>
      </c>
      <c r="I41">
        <v>356667</v>
      </c>
      <c r="J41">
        <v>345317</v>
      </c>
      <c r="K41">
        <v>791667</v>
      </c>
      <c r="L41">
        <v>222013</v>
      </c>
      <c r="M41">
        <v>616</v>
      </c>
      <c r="N41">
        <v>2302</v>
      </c>
      <c r="O41">
        <v>2918</v>
      </c>
    </row>
    <row r="42" spans="1:15" x14ac:dyDescent="0.25">
      <c r="A42" s="1">
        <v>40825</v>
      </c>
      <c r="B42">
        <v>4</v>
      </c>
      <c r="C42">
        <v>0</v>
      </c>
      <c r="D42">
        <v>10</v>
      </c>
      <c r="E42">
        <v>0</v>
      </c>
      <c r="F42">
        <v>0</v>
      </c>
      <c r="G42">
        <v>0</v>
      </c>
      <c r="H42">
        <v>1</v>
      </c>
      <c r="I42">
        <v>540833</v>
      </c>
      <c r="J42">
        <v>523983</v>
      </c>
      <c r="K42">
        <v>7275</v>
      </c>
      <c r="L42">
        <v>6345</v>
      </c>
      <c r="M42">
        <v>2397</v>
      </c>
      <c r="N42">
        <v>3114</v>
      </c>
      <c r="O42">
        <v>5511</v>
      </c>
    </row>
    <row r="43" spans="1:15" x14ac:dyDescent="0.25">
      <c r="A43" s="1">
        <v>40832</v>
      </c>
      <c r="B43">
        <v>4</v>
      </c>
      <c r="C43">
        <v>0</v>
      </c>
      <c r="D43">
        <v>10</v>
      </c>
      <c r="E43">
        <v>0</v>
      </c>
      <c r="F43">
        <v>0</v>
      </c>
      <c r="G43">
        <v>0</v>
      </c>
      <c r="H43">
        <v>1</v>
      </c>
      <c r="I43">
        <v>511667</v>
      </c>
      <c r="J43">
        <v>503154</v>
      </c>
      <c r="K43">
        <v>486667</v>
      </c>
      <c r="L43">
        <v>281717</v>
      </c>
      <c r="M43">
        <v>1748</v>
      </c>
      <c r="N43">
        <v>3293</v>
      </c>
      <c r="O43">
        <v>5041</v>
      </c>
    </row>
    <row r="44" spans="1:15" x14ac:dyDescent="0.25">
      <c r="A44" s="1">
        <v>40839</v>
      </c>
      <c r="B44">
        <v>4</v>
      </c>
      <c r="C44">
        <v>0</v>
      </c>
      <c r="D44">
        <v>10</v>
      </c>
      <c r="E44">
        <v>0</v>
      </c>
      <c r="F44">
        <v>0</v>
      </c>
      <c r="G44">
        <v>0</v>
      </c>
      <c r="H44">
        <v>1</v>
      </c>
      <c r="I44">
        <v>421667</v>
      </c>
      <c r="J44">
        <v>422333</v>
      </c>
      <c r="K44">
        <v>74125</v>
      </c>
      <c r="L44">
        <v>995125</v>
      </c>
      <c r="M44">
        <v>1619</v>
      </c>
      <c r="N44">
        <v>2762</v>
      </c>
      <c r="O44">
        <v>4381</v>
      </c>
    </row>
    <row r="45" spans="1:15" x14ac:dyDescent="0.25">
      <c r="A45" s="1">
        <v>40846</v>
      </c>
      <c r="B45">
        <v>4</v>
      </c>
      <c r="C45">
        <v>0</v>
      </c>
      <c r="D45">
        <v>10</v>
      </c>
      <c r="E45">
        <v>0</v>
      </c>
      <c r="F45">
        <v>0</v>
      </c>
      <c r="G45">
        <v>0</v>
      </c>
      <c r="H45">
        <v>1</v>
      </c>
      <c r="I45">
        <v>319167</v>
      </c>
      <c r="J45">
        <v>321329</v>
      </c>
      <c r="K45">
        <v>62375</v>
      </c>
      <c r="L45">
        <v>176617</v>
      </c>
      <c r="M45">
        <v>885</v>
      </c>
      <c r="N45">
        <v>2446</v>
      </c>
      <c r="O45">
        <v>3331</v>
      </c>
    </row>
    <row r="46" spans="1:15" x14ac:dyDescent="0.25">
      <c r="A46" s="1">
        <v>40853</v>
      </c>
      <c r="B46">
        <v>4</v>
      </c>
      <c r="C46">
        <v>0</v>
      </c>
      <c r="D46">
        <v>11</v>
      </c>
      <c r="E46">
        <v>0</v>
      </c>
      <c r="F46">
        <v>0</v>
      </c>
      <c r="G46">
        <v>0</v>
      </c>
      <c r="H46">
        <v>1</v>
      </c>
      <c r="I46">
        <v>348333</v>
      </c>
      <c r="J46">
        <v>362358</v>
      </c>
      <c r="K46">
        <v>734583</v>
      </c>
      <c r="L46">
        <v>920542</v>
      </c>
      <c r="M46">
        <v>952</v>
      </c>
      <c r="N46">
        <v>2697</v>
      </c>
      <c r="O46">
        <v>3649</v>
      </c>
    </row>
    <row r="47" spans="1:15" x14ac:dyDescent="0.25">
      <c r="A47" s="1">
        <v>40860</v>
      </c>
      <c r="B47">
        <v>4</v>
      </c>
      <c r="C47">
        <v>0</v>
      </c>
      <c r="D47">
        <v>11</v>
      </c>
      <c r="E47">
        <v>0</v>
      </c>
      <c r="F47">
        <v>0</v>
      </c>
      <c r="G47">
        <v>0</v>
      </c>
      <c r="H47">
        <v>1</v>
      </c>
      <c r="I47">
        <v>440833</v>
      </c>
      <c r="J47">
        <v>43055</v>
      </c>
      <c r="K47">
        <v>458333</v>
      </c>
      <c r="L47">
        <v>281721</v>
      </c>
      <c r="M47">
        <v>1004</v>
      </c>
      <c r="N47">
        <v>2713</v>
      </c>
      <c r="O47">
        <v>3717</v>
      </c>
    </row>
    <row r="48" spans="1:15" x14ac:dyDescent="0.25">
      <c r="A48" s="1">
        <v>40867</v>
      </c>
      <c r="B48">
        <v>4</v>
      </c>
      <c r="C48">
        <v>0</v>
      </c>
      <c r="D48">
        <v>11</v>
      </c>
      <c r="E48">
        <v>0</v>
      </c>
      <c r="F48">
        <v>0</v>
      </c>
      <c r="G48">
        <v>0</v>
      </c>
      <c r="H48">
        <v>2</v>
      </c>
      <c r="I48">
        <v>463333</v>
      </c>
      <c r="J48">
        <v>457058</v>
      </c>
      <c r="K48">
        <v>684583</v>
      </c>
      <c r="L48">
        <v>18595</v>
      </c>
      <c r="M48">
        <v>787</v>
      </c>
      <c r="N48">
        <v>2733</v>
      </c>
      <c r="O48">
        <v>3520</v>
      </c>
    </row>
    <row r="49" spans="1:15" x14ac:dyDescent="0.25">
      <c r="A49" s="1">
        <v>40874</v>
      </c>
      <c r="B49">
        <v>4</v>
      </c>
      <c r="C49">
        <v>0</v>
      </c>
      <c r="D49">
        <v>11</v>
      </c>
      <c r="E49">
        <v>0</v>
      </c>
      <c r="F49">
        <v>0</v>
      </c>
      <c r="G49">
        <v>0</v>
      </c>
      <c r="H49">
        <v>1</v>
      </c>
      <c r="I49">
        <v>459167</v>
      </c>
      <c r="J49">
        <v>4558</v>
      </c>
      <c r="K49">
        <v>698333</v>
      </c>
      <c r="L49">
        <v>208954</v>
      </c>
      <c r="M49">
        <v>810</v>
      </c>
      <c r="N49">
        <v>2261</v>
      </c>
      <c r="O49">
        <v>3071</v>
      </c>
    </row>
    <row r="50" spans="1:15" x14ac:dyDescent="0.25">
      <c r="A50" s="1">
        <v>40881</v>
      </c>
      <c r="B50">
        <v>4</v>
      </c>
      <c r="C50">
        <v>0</v>
      </c>
      <c r="D50">
        <v>12</v>
      </c>
      <c r="E50">
        <v>0</v>
      </c>
      <c r="F50">
        <v>0</v>
      </c>
      <c r="G50">
        <v>0</v>
      </c>
      <c r="H50">
        <v>1</v>
      </c>
      <c r="I50">
        <v>330833</v>
      </c>
      <c r="J50">
        <v>3491</v>
      </c>
      <c r="K50">
        <v>775833</v>
      </c>
      <c r="L50">
        <v>839583</v>
      </c>
      <c r="M50">
        <v>634</v>
      </c>
      <c r="N50">
        <v>2851</v>
      </c>
      <c r="O50">
        <v>3485</v>
      </c>
    </row>
    <row r="51" spans="1:15" x14ac:dyDescent="0.25">
      <c r="A51" s="1">
        <v>40888</v>
      </c>
      <c r="B51">
        <v>4</v>
      </c>
      <c r="C51">
        <v>0</v>
      </c>
      <c r="D51">
        <v>12</v>
      </c>
      <c r="E51">
        <v>0</v>
      </c>
      <c r="F51">
        <v>0</v>
      </c>
      <c r="G51">
        <v>0</v>
      </c>
      <c r="H51">
        <v>1</v>
      </c>
      <c r="I51">
        <v>220833</v>
      </c>
      <c r="J51">
        <v>253154</v>
      </c>
      <c r="K51">
        <v>49</v>
      </c>
      <c r="L51">
        <v>665417</v>
      </c>
      <c r="M51">
        <v>377</v>
      </c>
      <c r="N51">
        <v>2366</v>
      </c>
      <c r="O51">
        <v>2743</v>
      </c>
    </row>
    <row r="52" spans="1:15" x14ac:dyDescent="0.25">
      <c r="A52" s="1">
        <v>40895</v>
      </c>
      <c r="B52">
        <v>4</v>
      </c>
      <c r="C52">
        <v>0</v>
      </c>
      <c r="D52">
        <v>12</v>
      </c>
      <c r="E52">
        <v>0</v>
      </c>
      <c r="F52">
        <v>0</v>
      </c>
      <c r="G52">
        <v>0</v>
      </c>
      <c r="H52">
        <v>1</v>
      </c>
      <c r="I52">
        <v>238333</v>
      </c>
      <c r="J52">
        <v>245579</v>
      </c>
      <c r="K52">
        <v>58625</v>
      </c>
      <c r="L52">
        <v>169779</v>
      </c>
      <c r="M52">
        <v>220</v>
      </c>
      <c r="N52">
        <v>2211</v>
      </c>
      <c r="O52">
        <v>2431</v>
      </c>
    </row>
    <row r="53" spans="1:15" x14ac:dyDescent="0.25">
      <c r="A53" s="1">
        <v>40902</v>
      </c>
      <c r="B53">
        <v>1</v>
      </c>
      <c r="C53">
        <v>0</v>
      </c>
      <c r="D53">
        <v>12</v>
      </c>
      <c r="E53">
        <v>0</v>
      </c>
      <c r="F53">
        <v>0</v>
      </c>
      <c r="G53">
        <v>0</v>
      </c>
      <c r="H53">
        <v>1</v>
      </c>
      <c r="I53">
        <v>274783</v>
      </c>
      <c r="J53">
        <v>279961</v>
      </c>
      <c r="K53">
        <v>681304</v>
      </c>
      <c r="L53">
        <v>155091</v>
      </c>
      <c r="M53">
        <v>303</v>
      </c>
      <c r="N53">
        <v>451</v>
      </c>
      <c r="O53">
        <v>754</v>
      </c>
    </row>
    <row r="54" spans="1:15" x14ac:dyDescent="0.25">
      <c r="A54" s="1">
        <v>40909</v>
      </c>
      <c r="B54">
        <v>1</v>
      </c>
      <c r="C54">
        <v>1</v>
      </c>
      <c r="D54">
        <v>1</v>
      </c>
      <c r="E54">
        <v>0</v>
      </c>
      <c r="F54">
        <v>0</v>
      </c>
      <c r="G54">
        <v>0</v>
      </c>
      <c r="H54">
        <v>1</v>
      </c>
      <c r="I54">
        <v>37</v>
      </c>
      <c r="J54">
        <v>375621</v>
      </c>
      <c r="K54">
        <v>6925</v>
      </c>
      <c r="L54">
        <v>192167</v>
      </c>
      <c r="M54">
        <v>686</v>
      </c>
      <c r="N54">
        <v>1608</v>
      </c>
      <c r="O54">
        <v>2294</v>
      </c>
    </row>
    <row r="55" spans="1:15" x14ac:dyDescent="0.25">
      <c r="A55" s="1">
        <v>40916</v>
      </c>
      <c r="B55">
        <v>1</v>
      </c>
      <c r="C55">
        <v>1</v>
      </c>
      <c r="D55">
        <v>1</v>
      </c>
      <c r="E55">
        <v>0</v>
      </c>
      <c r="F55">
        <v>0</v>
      </c>
      <c r="G55">
        <v>0</v>
      </c>
      <c r="H55">
        <v>1</v>
      </c>
      <c r="I55">
        <v>3375</v>
      </c>
      <c r="J55">
        <v>340258</v>
      </c>
      <c r="K55">
        <v>465</v>
      </c>
      <c r="L55">
        <v>191542</v>
      </c>
      <c r="M55">
        <v>599</v>
      </c>
      <c r="N55">
        <v>2826</v>
      </c>
      <c r="O55">
        <v>3425</v>
      </c>
    </row>
    <row r="56" spans="1:15" x14ac:dyDescent="0.25">
      <c r="A56" s="1">
        <v>40923</v>
      </c>
      <c r="B56">
        <v>1</v>
      </c>
      <c r="C56">
        <v>1</v>
      </c>
      <c r="D56">
        <v>1</v>
      </c>
      <c r="E56">
        <v>0</v>
      </c>
      <c r="F56">
        <v>0</v>
      </c>
      <c r="G56">
        <v>0</v>
      </c>
      <c r="H56">
        <v>1</v>
      </c>
      <c r="I56">
        <v>166667</v>
      </c>
      <c r="J56">
        <v>161625</v>
      </c>
      <c r="K56">
        <v>419167</v>
      </c>
      <c r="L56">
        <v>251258</v>
      </c>
      <c r="M56">
        <v>284</v>
      </c>
      <c r="N56">
        <v>2027</v>
      </c>
      <c r="O56">
        <v>2311</v>
      </c>
    </row>
    <row r="57" spans="1:15" x14ac:dyDescent="0.25">
      <c r="A57" s="1">
        <v>40930</v>
      </c>
      <c r="B57">
        <v>1</v>
      </c>
      <c r="C57">
        <v>1</v>
      </c>
      <c r="D57">
        <v>1</v>
      </c>
      <c r="E57">
        <v>0</v>
      </c>
      <c r="F57">
        <v>0</v>
      </c>
      <c r="G57">
        <v>0</v>
      </c>
      <c r="H57">
        <v>2</v>
      </c>
      <c r="I57">
        <v>1625</v>
      </c>
      <c r="J57">
        <v>16225</v>
      </c>
      <c r="K57">
        <v>79625</v>
      </c>
      <c r="L57">
        <v>199638</v>
      </c>
      <c r="M57">
        <v>196</v>
      </c>
      <c r="N57">
        <v>1781</v>
      </c>
      <c r="O57">
        <v>1977</v>
      </c>
    </row>
    <row r="58" spans="1:15" x14ac:dyDescent="0.25">
      <c r="A58" s="1">
        <v>40937</v>
      </c>
      <c r="B58">
        <v>1</v>
      </c>
      <c r="C58">
        <v>1</v>
      </c>
      <c r="D58">
        <v>1</v>
      </c>
      <c r="E58">
        <v>0</v>
      </c>
      <c r="F58">
        <v>0</v>
      </c>
      <c r="G58">
        <v>0</v>
      </c>
      <c r="H58">
        <v>1</v>
      </c>
      <c r="I58">
        <v>2825</v>
      </c>
      <c r="J58">
        <v>272721</v>
      </c>
      <c r="K58">
        <v>31125</v>
      </c>
      <c r="L58">
        <v>24005</v>
      </c>
      <c r="M58">
        <v>558</v>
      </c>
      <c r="N58">
        <v>2685</v>
      </c>
      <c r="O58">
        <v>3243</v>
      </c>
    </row>
    <row r="59" spans="1:15" x14ac:dyDescent="0.25">
      <c r="A59" s="1">
        <v>40944</v>
      </c>
      <c r="B59">
        <v>1</v>
      </c>
      <c r="C59">
        <v>1</v>
      </c>
      <c r="D59">
        <v>2</v>
      </c>
      <c r="E59">
        <v>0</v>
      </c>
      <c r="F59">
        <v>0</v>
      </c>
      <c r="G59">
        <v>0</v>
      </c>
      <c r="H59">
        <v>2</v>
      </c>
      <c r="I59">
        <v>265833</v>
      </c>
      <c r="J59">
        <v>264521</v>
      </c>
      <c r="K59">
        <v>687917</v>
      </c>
      <c r="L59">
        <v>175996</v>
      </c>
      <c r="M59">
        <v>318</v>
      </c>
      <c r="N59">
        <v>2629</v>
      </c>
      <c r="O59">
        <v>2947</v>
      </c>
    </row>
    <row r="60" spans="1:15" x14ac:dyDescent="0.25">
      <c r="A60" s="1">
        <v>40951</v>
      </c>
      <c r="B60">
        <v>1</v>
      </c>
      <c r="C60">
        <v>1</v>
      </c>
      <c r="D60">
        <v>2</v>
      </c>
      <c r="E60">
        <v>0</v>
      </c>
      <c r="F60">
        <v>0</v>
      </c>
      <c r="G60">
        <v>0</v>
      </c>
      <c r="H60">
        <v>1</v>
      </c>
      <c r="I60">
        <v>1275</v>
      </c>
      <c r="J60">
        <v>101658</v>
      </c>
      <c r="K60">
        <v>464583</v>
      </c>
      <c r="L60">
        <v>409212</v>
      </c>
      <c r="M60">
        <v>73</v>
      </c>
      <c r="N60">
        <v>1456</v>
      </c>
      <c r="O60">
        <v>1529</v>
      </c>
    </row>
    <row r="61" spans="1:15" x14ac:dyDescent="0.25">
      <c r="A61" s="1">
        <v>40958</v>
      </c>
      <c r="B61">
        <v>1</v>
      </c>
      <c r="C61">
        <v>1</v>
      </c>
      <c r="D61">
        <v>2</v>
      </c>
      <c r="E61">
        <v>0</v>
      </c>
      <c r="F61">
        <v>0</v>
      </c>
      <c r="G61">
        <v>0</v>
      </c>
      <c r="H61">
        <v>2</v>
      </c>
      <c r="I61">
        <v>28</v>
      </c>
      <c r="J61">
        <v>265788</v>
      </c>
      <c r="K61">
        <v>515833</v>
      </c>
      <c r="L61">
        <v>253112</v>
      </c>
      <c r="M61">
        <v>618</v>
      </c>
      <c r="N61">
        <v>2071</v>
      </c>
      <c r="O61">
        <v>2689</v>
      </c>
    </row>
    <row r="62" spans="1:15" x14ac:dyDescent="0.25">
      <c r="A62" s="1">
        <v>40965</v>
      </c>
      <c r="B62">
        <v>1</v>
      </c>
      <c r="C62">
        <v>1</v>
      </c>
      <c r="D62">
        <v>2</v>
      </c>
      <c r="E62">
        <v>0</v>
      </c>
      <c r="F62">
        <v>0</v>
      </c>
      <c r="G62">
        <v>0</v>
      </c>
      <c r="H62">
        <v>1</v>
      </c>
      <c r="I62">
        <v>279167</v>
      </c>
      <c r="J62">
        <v>268308</v>
      </c>
      <c r="K62">
        <v>41</v>
      </c>
      <c r="L62">
        <v>205229</v>
      </c>
      <c r="M62">
        <v>515</v>
      </c>
      <c r="N62">
        <v>2874</v>
      </c>
      <c r="O62">
        <v>3389</v>
      </c>
    </row>
    <row r="63" spans="1:15" x14ac:dyDescent="0.25">
      <c r="A63" s="1">
        <v>40972</v>
      </c>
      <c r="B63">
        <v>1</v>
      </c>
      <c r="C63">
        <v>1</v>
      </c>
      <c r="D63">
        <v>3</v>
      </c>
      <c r="E63">
        <v>0</v>
      </c>
      <c r="F63">
        <v>0</v>
      </c>
      <c r="G63">
        <v>0</v>
      </c>
      <c r="H63">
        <v>1</v>
      </c>
      <c r="I63">
        <v>325833</v>
      </c>
      <c r="J63">
        <v>303021</v>
      </c>
      <c r="K63">
        <v>403333</v>
      </c>
      <c r="L63">
        <v>334571</v>
      </c>
      <c r="M63">
        <v>710</v>
      </c>
      <c r="N63">
        <v>2713</v>
      </c>
      <c r="O63">
        <v>3423</v>
      </c>
    </row>
    <row r="64" spans="1:15" x14ac:dyDescent="0.25">
      <c r="A64" s="1">
        <v>40979</v>
      </c>
      <c r="B64">
        <v>1</v>
      </c>
      <c r="C64">
        <v>1</v>
      </c>
      <c r="D64">
        <v>3</v>
      </c>
      <c r="E64">
        <v>0</v>
      </c>
      <c r="F64">
        <v>0</v>
      </c>
      <c r="G64">
        <v>0</v>
      </c>
      <c r="H64">
        <v>1</v>
      </c>
      <c r="I64">
        <v>361739</v>
      </c>
      <c r="J64">
        <v>35967</v>
      </c>
      <c r="K64">
        <v>476957</v>
      </c>
      <c r="L64">
        <v>222587</v>
      </c>
      <c r="M64">
        <v>1658</v>
      </c>
      <c r="N64">
        <v>3253</v>
      </c>
      <c r="O64">
        <v>4911</v>
      </c>
    </row>
    <row r="65" spans="1:15" x14ac:dyDescent="0.25">
      <c r="A65" s="1">
        <v>40986</v>
      </c>
      <c r="B65">
        <v>1</v>
      </c>
      <c r="C65">
        <v>1</v>
      </c>
      <c r="D65">
        <v>3</v>
      </c>
      <c r="E65">
        <v>0</v>
      </c>
      <c r="F65">
        <v>0</v>
      </c>
      <c r="G65">
        <v>0</v>
      </c>
      <c r="H65">
        <v>2</v>
      </c>
      <c r="I65">
        <v>4725</v>
      </c>
      <c r="J65">
        <v>464</v>
      </c>
      <c r="K65">
        <v>81</v>
      </c>
      <c r="L65">
        <v>126883</v>
      </c>
      <c r="M65">
        <v>2207</v>
      </c>
      <c r="N65">
        <v>3685</v>
      </c>
      <c r="O65">
        <v>5892</v>
      </c>
    </row>
    <row r="66" spans="1:15" x14ac:dyDescent="0.25">
      <c r="A66" s="1">
        <v>40993</v>
      </c>
      <c r="B66">
        <v>2</v>
      </c>
      <c r="C66">
        <v>1</v>
      </c>
      <c r="D66">
        <v>3</v>
      </c>
      <c r="E66">
        <v>0</v>
      </c>
      <c r="F66">
        <v>0</v>
      </c>
      <c r="G66">
        <v>0</v>
      </c>
      <c r="H66">
        <v>2</v>
      </c>
      <c r="I66">
        <v>4375</v>
      </c>
      <c r="J66">
        <v>437488</v>
      </c>
      <c r="K66">
        <v>880833</v>
      </c>
      <c r="L66">
        <v>220775</v>
      </c>
      <c r="M66">
        <v>1532</v>
      </c>
      <c r="N66">
        <v>3464</v>
      </c>
      <c r="O66">
        <v>4996</v>
      </c>
    </row>
    <row r="67" spans="1:15" x14ac:dyDescent="0.25">
      <c r="A67" s="1">
        <v>41000</v>
      </c>
      <c r="B67">
        <v>2</v>
      </c>
      <c r="C67">
        <v>1</v>
      </c>
      <c r="D67">
        <v>4</v>
      </c>
      <c r="E67">
        <v>0</v>
      </c>
      <c r="F67">
        <v>0</v>
      </c>
      <c r="G67">
        <v>0</v>
      </c>
      <c r="H67">
        <v>2</v>
      </c>
      <c r="I67">
        <v>425833</v>
      </c>
      <c r="J67">
        <v>417287</v>
      </c>
      <c r="K67">
        <v>67625</v>
      </c>
      <c r="L67">
        <v>172267</v>
      </c>
      <c r="M67">
        <v>2347</v>
      </c>
      <c r="N67">
        <v>3694</v>
      </c>
      <c r="O67">
        <v>6041</v>
      </c>
    </row>
    <row r="68" spans="1:15" x14ac:dyDescent="0.25">
      <c r="A68" s="1">
        <v>41007</v>
      </c>
      <c r="B68">
        <v>2</v>
      </c>
      <c r="C68">
        <v>1</v>
      </c>
      <c r="D68">
        <v>4</v>
      </c>
      <c r="E68">
        <v>0</v>
      </c>
      <c r="F68">
        <v>0</v>
      </c>
      <c r="G68">
        <v>0</v>
      </c>
      <c r="H68">
        <v>1</v>
      </c>
      <c r="I68">
        <v>5</v>
      </c>
      <c r="J68">
        <v>492425</v>
      </c>
      <c r="K68">
        <v>275833</v>
      </c>
      <c r="L68">
        <v>232596</v>
      </c>
      <c r="M68">
        <v>2230</v>
      </c>
      <c r="N68">
        <v>2939</v>
      </c>
      <c r="O68">
        <v>5169</v>
      </c>
    </row>
    <row r="69" spans="1:15" x14ac:dyDescent="0.25">
      <c r="A69" s="1">
        <v>41014</v>
      </c>
      <c r="B69">
        <v>2</v>
      </c>
      <c r="C69">
        <v>1</v>
      </c>
      <c r="D69">
        <v>4</v>
      </c>
      <c r="E69">
        <v>0</v>
      </c>
      <c r="F69">
        <v>0</v>
      </c>
      <c r="G69">
        <v>0</v>
      </c>
      <c r="H69">
        <v>1</v>
      </c>
      <c r="I69">
        <v>606667</v>
      </c>
      <c r="J69">
        <v>573875</v>
      </c>
      <c r="K69">
        <v>507917</v>
      </c>
      <c r="L69">
        <v>225129</v>
      </c>
      <c r="M69">
        <v>2846</v>
      </c>
      <c r="N69">
        <v>4286</v>
      </c>
      <c r="O69">
        <v>7132</v>
      </c>
    </row>
    <row r="70" spans="1:15" x14ac:dyDescent="0.25">
      <c r="A70" s="1">
        <v>41021</v>
      </c>
      <c r="B70">
        <v>2</v>
      </c>
      <c r="C70">
        <v>1</v>
      </c>
      <c r="D70">
        <v>4</v>
      </c>
      <c r="E70">
        <v>0</v>
      </c>
      <c r="F70">
        <v>0</v>
      </c>
      <c r="G70">
        <v>0</v>
      </c>
      <c r="H70">
        <v>3</v>
      </c>
      <c r="I70">
        <v>396667</v>
      </c>
      <c r="J70">
        <v>389504</v>
      </c>
      <c r="K70">
        <v>835417</v>
      </c>
      <c r="L70">
        <v>344546</v>
      </c>
      <c r="M70">
        <v>120</v>
      </c>
      <c r="N70">
        <v>907</v>
      </c>
      <c r="O70">
        <v>1027</v>
      </c>
    </row>
    <row r="71" spans="1:15" x14ac:dyDescent="0.25">
      <c r="A71" s="1">
        <v>41028</v>
      </c>
      <c r="B71">
        <v>2</v>
      </c>
      <c r="C71">
        <v>1</v>
      </c>
      <c r="D71">
        <v>4</v>
      </c>
      <c r="E71">
        <v>0</v>
      </c>
      <c r="F71">
        <v>0</v>
      </c>
      <c r="G71">
        <v>0</v>
      </c>
      <c r="H71">
        <v>1</v>
      </c>
      <c r="I71">
        <v>458333</v>
      </c>
      <c r="J71">
        <v>450121</v>
      </c>
      <c r="K71">
        <v>587083</v>
      </c>
      <c r="L71">
        <v>116908</v>
      </c>
      <c r="M71">
        <v>2229</v>
      </c>
      <c r="N71">
        <v>4075</v>
      </c>
      <c r="O71">
        <v>6304</v>
      </c>
    </row>
    <row r="72" spans="1:15" x14ac:dyDescent="0.25">
      <c r="A72" s="1">
        <v>41035</v>
      </c>
      <c r="B72">
        <v>2</v>
      </c>
      <c r="C72">
        <v>1</v>
      </c>
      <c r="D72">
        <v>5</v>
      </c>
      <c r="E72">
        <v>0</v>
      </c>
      <c r="F72">
        <v>0</v>
      </c>
      <c r="G72">
        <v>0</v>
      </c>
      <c r="H72">
        <v>2</v>
      </c>
      <c r="I72">
        <v>5625</v>
      </c>
      <c r="J72">
        <v>546737</v>
      </c>
      <c r="K72">
        <v>74</v>
      </c>
      <c r="L72">
        <v>149879</v>
      </c>
      <c r="M72">
        <v>2135</v>
      </c>
      <c r="N72">
        <v>4224</v>
      </c>
      <c r="O72">
        <v>6359</v>
      </c>
    </row>
    <row r="73" spans="1:15" x14ac:dyDescent="0.25">
      <c r="A73" s="1">
        <v>41042</v>
      </c>
      <c r="B73">
        <v>2</v>
      </c>
      <c r="C73">
        <v>1</v>
      </c>
      <c r="D73">
        <v>5</v>
      </c>
      <c r="E73">
        <v>0</v>
      </c>
      <c r="F73">
        <v>0</v>
      </c>
      <c r="G73">
        <v>0</v>
      </c>
      <c r="H73">
        <v>1</v>
      </c>
      <c r="I73">
        <v>6125</v>
      </c>
      <c r="J73">
        <v>585238</v>
      </c>
      <c r="K73">
        <v>57625</v>
      </c>
      <c r="L73">
        <v>225117</v>
      </c>
      <c r="M73">
        <v>2172</v>
      </c>
      <c r="N73">
        <v>3946</v>
      </c>
      <c r="O73">
        <v>6118</v>
      </c>
    </row>
    <row r="74" spans="1:15" x14ac:dyDescent="0.25">
      <c r="A74" s="1">
        <v>41049</v>
      </c>
      <c r="B74">
        <v>2</v>
      </c>
      <c r="C74">
        <v>1</v>
      </c>
      <c r="D74">
        <v>5</v>
      </c>
      <c r="E74">
        <v>0</v>
      </c>
      <c r="F74">
        <v>0</v>
      </c>
      <c r="G74">
        <v>0</v>
      </c>
      <c r="H74">
        <v>1</v>
      </c>
      <c r="I74">
        <v>620833</v>
      </c>
      <c r="J74">
        <v>583967</v>
      </c>
      <c r="K74">
        <v>530417</v>
      </c>
      <c r="L74">
        <v>254367</v>
      </c>
      <c r="M74">
        <v>2704</v>
      </c>
      <c r="N74">
        <v>4425</v>
      </c>
      <c r="O74">
        <v>7129</v>
      </c>
    </row>
    <row r="75" spans="1:15" x14ac:dyDescent="0.25">
      <c r="A75" s="1">
        <v>41056</v>
      </c>
      <c r="B75">
        <v>2</v>
      </c>
      <c r="C75">
        <v>1</v>
      </c>
      <c r="D75">
        <v>5</v>
      </c>
      <c r="E75">
        <v>0</v>
      </c>
      <c r="F75">
        <v>0</v>
      </c>
      <c r="G75">
        <v>0</v>
      </c>
      <c r="H75">
        <v>1</v>
      </c>
      <c r="I75">
        <v>69</v>
      </c>
      <c r="J75">
        <v>641425</v>
      </c>
      <c r="K75">
        <v>697083</v>
      </c>
      <c r="L75">
        <v>215171</v>
      </c>
      <c r="M75">
        <v>3283</v>
      </c>
      <c r="N75">
        <v>3308</v>
      </c>
      <c r="O75">
        <v>6591</v>
      </c>
    </row>
    <row r="76" spans="1:15" x14ac:dyDescent="0.25">
      <c r="A76" s="1">
        <v>41063</v>
      </c>
      <c r="B76">
        <v>2</v>
      </c>
      <c r="C76">
        <v>1</v>
      </c>
      <c r="D76">
        <v>6</v>
      </c>
      <c r="E76">
        <v>0</v>
      </c>
      <c r="F76">
        <v>0</v>
      </c>
      <c r="G76">
        <v>0</v>
      </c>
      <c r="H76">
        <v>1</v>
      </c>
      <c r="I76">
        <v>6025</v>
      </c>
      <c r="J76">
        <v>575133</v>
      </c>
      <c r="K76">
        <v>493333</v>
      </c>
      <c r="L76">
        <v>184087</v>
      </c>
      <c r="M76">
        <v>2494</v>
      </c>
      <c r="N76">
        <v>5147</v>
      </c>
      <c r="O76">
        <v>7641</v>
      </c>
    </row>
    <row r="77" spans="1:15" x14ac:dyDescent="0.25">
      <c r="A77" s="1">
        <v>41070</v>
      </c>
      <c r="B77">
        <v>2</v>
      </c>
      <c r="C77">
        <v>1</v>
      </c>
      <c r="D77">
        <v>6</v>
      </c>
      <c r="E77">
        <v>0</v>
      </c>
      <c r="F77">
        <v>0</v>
      </c>
      <c r="G77">
        <v>0</v>
      </c>
      <c r="H77">
        <v>1</v>
      </c>
      <c r="I77">
        <v>726667</v>
      </c>
      <c r="J77">
        <v>663517</v>
      </c>
      <c r="K77">
        <v>538333</v>
      </c>
      <c r="L77">
        <v>133721</v>
      </c>
      <c r="M77">
        <v>2224</v>
      </c>
      <c r="N77">
        <v>4374</v>
      </c>
      <c r="O77">
        <v>6598</v>
      </c>
    </row>
    <row r="78" spans="1:15" x14ac:dyDescent="0.25">
      <c r="A78" s="1">
        <v>41077</v>
      </c>
      <c r="B78">
        <v>2</v>
      </c>
      <c r="C78">
        <v>1</v>
      </c>
      <c r="D78">
        <v>6</v>
      </c>
      <c r="E78">
        <v>0</v>
      </c>
      <c r="F78">
        <v>0</v>
      </c>
      <c r="G78">
        <v>0</v>
      </c>
      <c r="H78">
        <v>1</v>
      </c>
      <c r="I78">
        <v>5925</v>
      </c>
      <c r="J78">
        <v>571975</v>
      </c>
      <c r="K78">
        <v>59875</v>
      </c>
      <c r="L78">
        <v>144904</v>
      </c>
      <c r="M78">
        <v>2634</v>
      </c>
      <c r="N78">
        <v>4344</v>
      </c>
      <c r="O78">
        <v>6978</v>
      </c>
    </row>
    <row r="79" spans="1:15" x14ac:dyDescent="0.25">
      <c r="A79" s="1">
        <v>41084</v>
      </c>
      <c r="B79">
        <v>3</v>
      </c>
      <c r="C79">
        <v>1</v>
      </c>
      <c r="D79">
        <v>6</v>
      </c>
      <c r="E79">
        <v>0</v>
      </c>
      <c r="F79">
        <v>0</v>
      </c>
      <c r="G79">
        <v>0</v>
      </c>
      <c r="H79">
        <v>1</v>
      </c>
      <c r="I79">
        <v>743333</v>
      </c>
      <c r="J79">
        <v>674254</v>
      </c>
      <c r="K79">
        <v>479167</v>
      </c>
      <c r="L79">
        <v>145525</v>
      </c>
      <c r="M79">
        <v>2551</v>
      </c>
      <c r="N79">
        <v>4340</v>
      </c>
      <c r="O79">
        <v>6891</v>
      </c>
    </row>
    <row r="80" spans="1:15" x14ac:dyDescent="0.25">
      <c r="A80" s="1">
        <v>41091</v>
      </c>
      <c r="B80">
        <v>3</v>
      </c>
      <c r="C80">
        <v>1</v>
      </c>
      <c r="D80">
        <v>7</v>
      </c>
      <c r="E80">
        <v>0</v>
      </c>
      <c r="F80">
        <v>0</v>
      </c>
      <c r="G80">
        <v>0</v>
      </c>
      <c r="H80">
        <v>1</v>
      </c>
      <c r="I80">
        <v>815833</v>
      </c>
      <c r="J80">
        <v>750629</v>
      </c>
      <c r="K80">
        <v>51875</v>
      </c>
      <c r="L80">
        <v>168529</v>
      </c>
      <c r="M80">
        <v>1421</v>
      </c>
      <c r="N80">
        <v>4110</v>
      </c>
      <c r="O80">
        <v>5531</v>
      </c>
    </row>
    <row r="81" spans="1:15" x14ac:dyDescent="0.25">
      <c r="A81" s="1">
        <v>41098</v>
      </c>
      <c r="B81">
        <v>3</v>
      </c>
      <c r="C81">
        <v>1</v>
      </c>
      <c r="D81">
        <v>7</v>
      </c>
      <c r="E81">
        <v>0</v>
      </c>
      <c r="F81">
        <v>0</v>
      </c>
      <c r="G81">
        <v>0</v>
      </c>
      <c r="H81">
        <v>1</v>
      </c>
      <c r="I81">
        <v>8225</v>
      </c>
      <c r="J81">
        <v>790396</v>
      </c>
      <c r="K81">
        <v>57375</v>
      </c>
      <c r="L81">
        <v>125629</v>
      </c>
      <c r="M81">
        <v>1203</v>
      </c>
      <c r="N81">
        <v>3469</v>
      </c>
      <c r="O81">
        <v>4672</v>
      </c>
    </row>
    <row r="82" spans="1:15" x14ac:dyDescent="0.25">
      <c r="A82" s="1">
        <v>41105</v>
      </c>
      <c r="B82">
        <v>3</v>
      </c>
      <c r="C82">
        <v>1</v>
      </c>
      <c r="D82">
        <v>7</v>
      </c>
      <c r="E82">
        <v>0</v>
      </c>
      <c r="F82">
        <v>0</v>
      </c>
      <c r="G82">
        <v>0</v>
      </c>
      <c r="H82">
        <v>1</v>
      </c>
      <c r="I82">
        <v>745833</v>
      </c>
      <c r="J82">
        <v>705196</v>
      </c>
      <c r="K82">
        <v>717917</v>
      </c>
      <c r="L82">
        <v>166667</v>
      </c>
      <c r="M82">
        <v>1920</v>
      </c>
      <c r="N82">
        <v>4111</v>
      </c>
      <c r="O82">
        <v>6031</v>
      </c>
    </row>
    <row r="83" spans="1:15" x14ac:dyDescent="0.25">
      <c r="A83" s="1">
        <v>41112</v>
      </c>
      <c r="B83">
        <v>3</v>
      </c>
      <c r="C83">
        <v>1</v>
      </c>
      <c r="D83">
        <v>7</v>
      </c>
      <c r="E83">
        <v>0</v>
      </c>
      <c r="F83">
        <v>0</v>
      </c>
      <c r="G83">
        <v>0</v>
      </c>
      <c r="H83">
        <v>2</v>
      </c>
      <c r="I83">
        <v>6675</v>
      </c>
      <c r="J83">
        <v>623125</v>
      </c>
      <c r="K83">
        <v>7625</v>
      </c>
      <c r="L83">
        <v>939208</v>
      </c>
      <c r="M83">
        <v>2544</v>
      </c>
      <c r="N83">
        <v>4866</v>
      </c>
      <c r="O83">
        <v>7410</v>
      </c>
    </row>
    <row r="84" spans="1:15" x14ac:dyDescent="0.25">
      <c r="A84" s="1">
        <v>41119</v>
      </c>
      <c r="B84">
        <v>3</v>
      </c>
      <c r="C84">
        <v>1</v>
      </c>
      <c r="D84">
        <v>7</v>
      </c>
      <c r="E84">
        <v>0</v>
      </c>
      <c r="F84">
        <v>0</v>
      </c>
      <c r="G84">
        <v>0</v>
      </c>
      <c r="H84">
        <v>1</v>
      </c>
      <c r="I84">
        <v>721667</v>
      </c>
      <c r="J84">
        <v>667933</v>
      </c>
      <c r="K84">
        <v>62375</v>
      </c>
      <c r="L84">
        <v>170396</v>
      </c>
      <c r="M84">
        <v>2153</v>
      </c>
      <c r="N84">
        <v>4444</v>
      </c>
      <c r="O84">
        <v>6597</v>
      </c>
    </row>
    <row r="85" spans="1:15" x14ac:dyDescent="0.25">
      <c r="A85" s="1">
        <v>41126</v>
      </c>
      <c r="B85">
        <v>3</v>
      </c>
      <c r="C85">
        <v>1</v>
      </c>
      <c r="D85">
        <v>8</v>
      </c>
      <c r="E85">
        <v>0</v>
      </c>
      <c r="F85">
        <v>0</v>
      </c>
      <c r="G85">
        <v>0</v>
      </c>
      <c r="H85">
        <v>1</v>
      </c>
      <c r="I85">
        <v>769167</v>
      </c>
      <c r="J85">
        <v>731079</v>
      </c>
      <c r="K85">
        <v>6525</v>
      </c>
      <c r="L85">
        <v>290421</v>
      </c>
      <c r="M85">
        <v>1707</v>
      </c>
      <c r="N85">
        <v>3757</v>
      </c>
      <c r="O85">
        <v>5464</v>
      </c>
    </row>
    <row r="86" spans="1:15" x14ac:dyDescent="0.25">
      <c r="A86" s="1">
        <v>41133</v>
      </c>
      <c r="B86">
        <v>3</v>
      </c>
      <c r="C86">
        <v>1</v>
      </c>
      <c r="D86">
        <v>8</v>
      </c>
      <c r="E86">
        <v>0</v>
      </c>
      <c r="F86">
        <v>0</v>
      </c>
      <c r="G86">
        <v>0</v>
      </c>
      <c r="H86">
        <v>1</v>
      </c>
      <c r="I86">
        <v>700833</v>
      </c>
      <c r="J86">
        <v>644579</v>
      </c>
      <c r="K86">
        <v>530417</v>
      </c>
      <c r="L86">
        <v>122512</v>
      </c>
      <c r="M86">
        <v>2182</v>
      </c>
      <c r="N86">
        <v>4362</v>
      </c>
      <c r="O86">
        <v>6544</v>
      </c>
    </row>
    <row r="87" spans="1:15" x14ac:dyDescent="0.25">
      <c r="A87" s="1">
        <v>41140</v>
      </c>
      <c r="B87">
        <v>3</v>
      </c>
      <c r="C87">
        <v>1</v>
      </c>
      <c r="D87">
        <v>8</v>
      </c>
      <c r="E87">
        <v>0</v>
      </c>
      <c r="F87">
        <v>0</v>
      </c>
      <c r="G87">
        <v>0</v>
      </c>
      <c r="H87">
        <v>2</v>
      </c>
      <c r="I87">
        <v>635833</v>
      </c>
      <c r="J87">
        <v>603554</v>
      </c>
      <c r="K87">
        <v>711667</v>
      </c>
      <c r="L87">
        <v>8645</v>
      </c>
      <c r="M87">
        <v>1208</v>
      </c>
      <c r="N87">
        <v>3341</v>
      </c>
      <c r="O87">
        <v>4549</v>
      </c>
    </row>
    <row r="88" spans="1:15" x14ac:dyDescent="0.25">
      <c r="A88" s="1">
        <v>41147</v>
      </c>
      <c r="B88">
        <v>3</v>
      </c>
      <c r="C88">
        <v>1</v>
      </c>
      <c r="D88">
        <v>8</v>
      </c>
      <c r="E88">
        <v>0</v>
      </c>
      <c r="F88">
        <v>0</v>
      </c>
      <c r="G88">
        <v>0</v>
      </c>
      <c r="H88">
        <v>2</v>
      </c>
      <c r="I88">
        <v>653333</v>
      </c>
      <c r="J88">
        <v>595996</v>
      </c>
      <c r="K88">
        <v>845833</v>
      </c>
      <c r="L88">
        <v>228858</v>
      </c>
      <c r="M88">
        <v>1483</v>
      </c>
      <c r="N88">
        <v>3772</v>
      </c>
      <c r="O88">
        <v>5255</v>
      </c>
    </row>
    <row r="89" spans="1:15" x14ac:dyDescent="0.25">
      <c r="A89" s="1">
        <v>41154</v>
      </c>
      <c r="B89">
        <v>3</v>
      </c>
      <c r="C89">
        <v>1</v>
      </c>
      <c r="D89">
        <v>9</v>
      </c>
      <c r="E89">
        <v>0</v>
      </c>
      <c r="F89">
        <v>0</v>
      </c>
      <c r="G89">
        <v>0</v>
      </c>
      <c r="H89">
        <v>2</v>
      </c>
      <c r="I89">
        <v>696667</v>
      </c>
      <c r="J89">
        <v>649</v>
      </c>
      <c r="K89">
        <v>815</v>
      </c>
      <c r="L89">
        <v>640708</v>
      </c>
      <c r="M89">
        <v>2613</v>
      </c>
      <c r="N89">
        <v>3197</v>
      </c>
      <c r="O89">
        <v>5810</v>
      </c>
    </row>
    <row r="90" spans="1:15" x14ac:dyDescent="0.25">
      <c r="A90" s="1">
        <v>41161</v>
      </c>
      <c r="B90">
        <v>3</v>
      </c>
      <c r="C90">
        <v>1</v>
      </c>
      <c r="D90">
        <v>9</v>
      </c>
      <c r="E90">
        <v>0</v>
      </c>
      <c r="F90">
        <v>0</v>
      </c>
      <c r="G90">
        <v>0</v>
      </c>
      <c r="H90">
        <v>1</v>
      </c>
      <c r="I90">
        <v>61</v>
      </c>
      <c r="J90">
        <v>578925</v>
      </c>
      <c r="K90">
        <v>5475</v>
      </c>
      <c r="L90">
        <v>224496</v>
      </c>
      <c r="M90">
        <v>2570</v>
      </c>
      <c r="N90">
        <v>5657</v>
      </c>
      <c r="O90">
        <v>8227</v>
      </c>
    </row>
    <row r="91" spans="1:15" x14ac:dyDescent="0.25">
      <c r="A91" s="1">
        <v>41168</v>
      </c>
      <c r="B91">
        <v>3</v>
      </c>
      <c r="C91">
        <v>1</v>
      </c>
      <c r="D91">
        <v>9</v>
      </c>
      <c r="E91">
        <v>0</v>
      </c>
      <c r="F91">
        <v>0</v>
      </c>
      <c r="G91">
        <v>0</v>
      </c>
      <c r="H91">
        <v>1</v>
      </c>
      <c r="I91">
        <v>58</v>
      </c>
      <c r="J91">
        <v>563125</v>
      </c>
      <c r="K91">
        <v>57</v>
      </c>
      <c r="L91">
        <v>901833</v>
      </c>
      <c r="M91">
        <v>2166</v>
      </c>
      <c r="N91">
        <v>5167</v>
      </c>
      <c r="O91">
        <v>7333</v>
      </c>
    </row>
    <row r="92" spans="1:15" x14ac:dyDescent="0.25">
      <c r="A92" s="1">
        <v>41175</v>
      </c>
      <c r="B92">
        <v>4</v>
      </c>
      <c r="C92">
        <v>1</v>
      </c>
      <c r="D92">
        <v>9</v>
      </c>
      <c r="E92">
        <v>0</v>
      </c>
      <c r="F92">
        <v>0</v>
      </c>
      <c r="G92">
        <v>0</v>
      </c>
      <c r="H92">
        <v>1</v>
      </c>
      <c r="I92">
        <v>529167</v>
      </c>
      <c r="J92">
        <v>518933</v>
      </c>
      <c r="K92">
        <v>467083</v>
      </c>
      <c r="L92">
        <v>223258</v>
      </c>
      <c r="M92">
        <v>2454</v>
      </c>
      <c r="N92">
        <v>5453</v>
      </c>
      <c r="O92">
        <v>7907</v>
      </c>
    </row>
    <row r="93" spans="1:15" x14ac:dyDescent="0.25">
      <c r="A93" s="1">
        <v>41182</v>
      </c>
      <c r="B93">
        <v>4</v>
      </c>
      <c r="C93">
        <v>1</v>
      </c>
      <c r="D93">
        <v>9</v>
      </c>
      <c r="E93">
        <v>0</v>
      </c>
      <c r="F93">
        <v>0</v>
      </c>
      <c r="G93">
        <v>0</v>
      </c>
      <c r="H93">
        <v>1</v>
      </c>
      <c r="I93">
        <v>526667</v>
      </c>
      <c r="J93">
        <v>517663</v>
      </c>
      <c r="K93">
        <v>583333</v>
      </c>
      <c r="L93">
        <v>134958</v>
      </c>
      <c r="M93">
        <v>2015</v>
      </c>
      <c r="N93">
        <v>4874</v>
      </c>
      <c r="O93">
        <v>6889</v>
      </c>
    </row>
    <row r="94" spans="1:15" x14ac:dyDescent="0.25">
      <c r="A94" s="1">
        <v>41189</v>
      </c>
      <c r="B94">
        <v>4</v>
      </c>
      <c r="C94">
        <v>1</v>
      </c>
      <c r="D94">
        <v>10</v>
      </c>
      <c r="E94">
        <v>0</v>
      </c>
      <c r="F94">
        <v>0</v>
      </c>
      <c r="G94">
        <v>0</v>
      </c>
      <c r="H94">
        <v>2</v>
      </c>
      <c r="I94">
        <v>415833</v>
      </c>
      <c r="J94">
        <v>419813</v>
      </c>
      <c r="K94">
        <v>708333</v>
      </c>
      <c r="L94">
        <v>141162</v>
      </c>
      <c r="M94">
        <v>781</v>
      </c>
      <c r="N94">
        <v>2729</v>
      </c>
      <c r="O94">
        <v>3510</v>
      </c>
    </row>
    <row r="95" spans="1:15" x14ac:dyDescent="0.25">
      <c r="A95" s="1">
        <v>41196</v>
      </c>
      <c r="B95">
        <v>4</v>
      </c>
      <c r="C95">
        <v>1</v>
      </c>
      <c r="D95">
        <v>10</v>
      </c>
      <c r="E95">
        <v>0</v>
      </c>
      <c r="F95">
        <v>0</v>
      </c>
      <c r="G95">
        <v>0</v>
      </c>
      <c r="H95">
        <v>1</v>
      </c>
      <c r="I95">
        <v>521667</v>
      </c>
      <c r="J95">
        <v>508204</v>
      </c>
      <c r="K95">
        <v>640417</v>
      </c>
      <c r="L95">
        <v>278612</v>
      </c>
      <c r="M95">
        <v>2080</v>
      </c>
      <c r="N95">
        <v>4559</v>
      </c>
      <c r="O95">
        <v>6639</v>
      </c>
    </row>
    <row r="96" spans="1:15" x14ac:dyDescent="0.25">
      <c r="A96" s="1">
        <v>41203</v>
      </c>
      <c r="B96">
        <v>4</v>
      </c>
      <c r="C96">
        <v>1</v>
      </c>
      <c r="D96">
        <v>10</v>
      </c>
      <c r="E96">
        <v>0</v>
      </c>
      <c r="F96">
        <v>0</v>
      </c>
      <c r="G96">
        <v>0</v>
      </c>
      <c r="H96">
        <v>1</v>
      </c>
      <c r="I96">
        <v>464167</v>
      </c>
      <c r="J96">
        <v>456429</v>
      </c>
      <c r="K96">
        <v>51</v>
      </c>
      <c r="L96">
        <v>166054</v>
      </c>
      <c r="M96">
        <v>2132</v>
      </c>
      <c r="N96">
        <v>4692</v>
      </c>
      <c r="O96">
        <v>6824</v>
      </c>
    </row>
    <row r="97" spans="1:15" x14ac:dyDescent="0.25">
      <c r="A97" s="1">
        <v>41210</v>
      </c>
      <c r="B97">
        <v>4</v>
      </c>
      <c r="C97">
        <v>1</v>
      </c>
      <c r="D97">
        <v>10</v>
      </c>
      <c r="E97">
        <v>0</v>
      </c>
      <c r="F97">
        <v>0</v>
      </c>
      <c r="G97">
        <v>0</v>
      </c>
      <c r="H97">
        <v>2</v>
      </c>
      <c r="I97">
        <v>4775</v>
      </c>
      <c r="J97">
        <v>467771</v>
      </c>
      <c r="K97">
        <v>694583</v>
      </c>
      <c r="L97">
        <v>398008</v>
      </c>
      <c r="M97">
        <v>998</v>
      </c>
      <c r="N97">
        <v>3461</v>
      </c>
      <c r="O97">
        <v>4459</v>
      </c>
    </row>
    <row r="98" spans="1:15" x14ac:dyDescent="0.25">
      <c r="A98" s="1">
        <v>41217</v>
      </c>
      <c r="B98">
        <v>4</v>
      </c>
      <c r="C98">
        <v>1</v>
      </c>
      <c r="D98">
        <v>11</v>
      </c>
      <c r="E98">
        <v>0</v>
      </c>
      <c r="F98">
        <v>0</v>
      </c>
      <c r="G98">
        <v>0</v>
      </c>
      <c r="H98">
        <v>1</v>
      </c>
      <c r="I98">
        <v>325833</v>
      </c>
      <c r="J98">
        <v>329538</v>
      </c>
      <c r="K98">
        <v>532917</v>
      </c>
      <c r="L98">
        <v>179108</v>
      </c>
      <c r="M98">
        <v>1201</v>
      </c>
      <c r="N98">
        <v>3906</v>
      </c>
      <c r="O98">
        <v>5107</v>
      </c>
    </row>
    <row r="99" spans="1:15" x14ac:dyDescent="0.25">
      <c r="A99" s="1">
        <v>41224</v>
      </c>
      <c r="B99">
        <v>4</v>
      </c>
      <c r="C99">
        <v>1</v>
      </c>
      <c r="D99">
        <v>11</v>
      </c>
      <c r="E99">
        <v>0</v>
      </c>
      <c r="F99">
        <v>0</v>
      </c>
      <c r="G99">
        <v>0</v>
      </c>
      <c r="H99">
        <v>1</v>
      </c>
      <c r="I99">
        <v>420833</v>
      </c>
      <c r="J99">
        <v>421713</v>
      </c>
      <c r="K99">
        <v>659167</v>
      </c>
      <c r="L99">
        <v>1275</v>
      </c>
      <c r="M99">
        <v>2290</v>
      </c>
      <c r="N99">
        <v>4562</v>
      </c>
      <c r="O99">
        <v>6852</v>
      </c>
    </row>
    <row r="100" spans="1:15" x14ac:dyDescent="0.25">
      <c r="A100" s="1">
        <v>41231</v>
      </c>
      <c r="B100">
        <v>4</v>
      </c>
      <c r="C100">
        <v>1</v>
      </c>
      <c r="D100">
        <v>11</v>
      </c>
      <c r="E100">
        <v>0</v>
      </c>
      <c r="F100">
        <v>0</v>
      </c>
      <c r="G100">
        <v>0</v>
      </c>
      <c r="H100">
        <v>1</v>
      </c>
      <c r="I100">
        <v>3425</v>
      </c>
      <c r="J100">
        <v>337746</v>
      </c>
      <c r="K100">
        <v>692917</v>
      </c>
      <c r="L100">
        <v>227612</v>
      </c>
      <c r="M100">
        <v>922</v>
      </c>
      <c r="N100">
        <v>3747</v>
      </c>
      <c r="O100">
        <v>4669</v>
      </c>
    </row>
    <row r="101" spans="1:15" x14ac:dyDescent="0.25">
      <c r="A101" s="1">
        <v>41238</v>
      </c>
      <c r="B101">
        <v>4</v>
      </c>
      <c r="C101">
        <v>1</v>
      </c>
      <c r="D101">
        <v>11</v>
      </c>
      <c r="E101">
        <v>0</v>
      </c>
      <c r="F101">
        <v>0</v>
      </c>
      <c r="G101">
        <v>0</v>
      </c>
      <c r="H101">
        <v>1</v>
      </c>
      <c r="I101">
        <v>245833</v>
      </c>
      <c r="J101">
        <v>257583</v>
      </c>
      <c r="K101">
        <v>468333</v>
      </c>
      <c r="L101">
        <v>1505</v>
      </c>
      <c r="M101">
        <v>309</v>
      </c>
      <c r="N101">
        <v>2115</v>
      </c>
      <c r="O101">
        <v>2424</v>
      </c>
    </row>
    <row r="102" spans="1:15" x14ac:dyDescent="0.25">
      <c r="A102" s="1">
        <v>41245</v>
      </c>
      <c r="B102">
        <v>4</v>
      </c>
      <c r="C102">
        <v>1</v>
      </c>
      <c r="D102">
        <v>12</v>
      </c>
      <c r="E102">
        <v>0</v>
      </c>
      <c r="F102">
        <v>0</v>
      </c>
      <c r="G102">
        <v>0</v>
      </c>
      <c r="H102">
        <v>2</v>
      </c>
      <c r="I102">
        <v>3475</v>
      </c>
      <c r="J102">
        <v>359208</v>
      </c>
      <c r="K102">
        <v>823333</v>
      </c>
      <c r="L102">
        <v>124379</v>
      </c>
      <c r="M102">
        <v>892</v>
      </c>
      <c r="N102">
        <v>3757</v>
      </c>
      <c r="O102">
        <v>4649</v>
      </c>
    </row>
    <row r="103" spans="1:15" x14ac:dyDescent="0.25">
      <c r="A103" s="1">
        <v>41252</v>
      </c>
      <c r="B103">
        <v>4</v>
      </c>
      <c r="C103">
        <v>1</v>
      </c>
      <c r="D103">
        <v>12</v>
      </c>
      <c r="E103">
        <v>0</v>
      </c>
      <c r="F103">
        <v>0</v>
      </c>
      <c r="G103">
        <v>0</v>
      </c>
      <c r="H103">
        <v>2</v>
      </c>
      <c r="I103">
        <v>384167</v>
      </c>
      <c r="J103">
        <v>390146</v>
      </c>
      <c r="K103">
        <v>905417</v>
      </c>
      <c r="L103">
        <v>157975</v>
      </c>
      <c r="M103">
        <v>441</v>
      </c>
      <c r="N103">
        <v>2787</v>
      </c>
      <c r="O103">
        <v>3228</v>
      </c>
    </row>
    <row r="104" spans="1:15" x14ac:dyDescent="0.25">
      <c r="A104" s="1">
        <v>41259</v>
      </c>
      <c r="B104">
        <v>4</v>
      </c>
      <c r="C104">
        <v>1</v>
      </c>
      <c r="D104">
        <v>12</v>
      </c>
      <c r="E104">
        <v>0</v>
      </c>
      <c r="F104">
        <v>0</v>
      </c>
      <c r="G104">
        <v>0</v>
      </c>
      <c r="H104">
        <v>2</v>
      </c>
      <c r="I104">
        <v>3625</v>
      </c>
      <c r="J104">
        <v>369938</v>
      </c>
      <c r="K104">
        <v>83875</v>
      </c>
      <c r="L104">
        <v>100742</v>
      </c>
      <c r="M104">
        <v>538</v>
      </c>
      <c r="N104">
        <v>3248</v>
      </c>
      <c r="O104">
        <v>3786</v>
      </c>
    </row>
    <row r="105" spans="1:15" x14ac:dyDescent="0.25">
      <c r="A105" s="1">
        <v>41266</v>
      </c>
      <c r="B105">
        <v>1</v>
      </c>
      <c r="C105">
        <v>1</v>
      </c>
      <c r="D105">
        <v>12</v>
      </c>
      <c r="E105">
        <v>0</v>
      </c>
      <c r="F105">
        <v>0</v>
      </c>
      <c r="G105">
        <v>0</v>
      </c>
      <c r="H105">
        <v>1</v>
      </c>
      <c r="I105">
        <v>245833</v>
      </c>
      <c r="J105">
        <v>259471</v>
      </c>
      <c r="K105">
        <v>515417</v>
      </c>
      <c r="L105">
        <v>133083</v>
      </c>
      <c r="M105">
        <v>408</v>
      </c>
      <c r="N105">
        <v>1379</v>
      </c>
      <c r="O105">
        <v>1787</v>
      </c>
    </row>
    <row r="106" spans="1:15" x14ac:dyDescent="0.25">
      <c r="A106" s="1">
        <v>41273</v>
      </c>
      <c r="B106">
        <v>1</v>
      </c>
      <c r="C106">
        <v>1</v>
      </c>
      <c r="D106">
        <v>12</v>
      </c>
      <c r="E106">
        <v>0</v>
      </c>
      <c r="F106">
        <v>0</v>
      </c>
      <c r="G106">
        <v>0</v>
      </c>
      <c r="H106">
        <v>1</v>
      </c>
      <c r="I106">
        <v>255833</v>
      </c>
      <c r="J106">
        <v>2317</v>
      </c>
      <c r="K106">
        <v>483333</v>
      </c>
      <c r="L106">
        <v>350754</v>
      </c>
      <c r="M106">
        <v>364</v>
      </c>
      <c r="N106">
        <v>1432</v>
      </c>
      <c r="O106">
        <v>1796</v>
      </c>
    </row>
    <row r="107" spans="1:15" hidden="1" x14ac:dyDescent="0.25">
      <c r="A107" s="1">
        <v>40546</v>
      </c>
      <c r="B107">
        <v>1</v>
      </c>
      <c r="C107">
        <v>0</v>
      </c>
      <c r="D107">
        <v>1</v>
      </c>
      <c r="E107">
        <v>0</v>
      </c>
      <c r="F107">
        <v>1</v>
      </c>
      <c r="G107">
        <v>1</v>
      </c>
      <c r="H107">
        <v>1</v>
      </c>
      <c r="I107">
        <v>196364</v>
      </c>
      <c r="J107">
        <v>189405</v>
      </c>
      <c r="K107">
        <v>437273</v>
      </c>
      <c r="L107">
        <v>248309</v>
      </c>
      <c r="M107">
        <v>120</v>
      </c>
      <c r="N107">
        <v>1229</v>
      </c>
      <c r="O107">
        <v>1349</v>
      </c>
    </row>
    <row r="108" spans="1:15" hidden="1" x14ac:dyDescent="0.25">
      <c r="A108" s="1">
        <v>40553</v>
      </c>
      <c r="B108">
        <v>1</v>
      </c>
      <c r="C108">
        <v>0</v>
      </c>
      <c r="D108">
        <v>1</v>
      </c>
      <c r="E108">
        <v>0</v>
      </c>
      <c r="F108">
        <v>1</v>
      </c>
      <c r="G108">
        <v>1</v>
      </c>
      <c r="H108">
        <v>1</v>
      </c>
      <c r="I108">
        <v>150833</v>
      </c>
      <c r="J108">
        <v>150888</v>
      </c>
      <c r="K108">
        <v>482917</v>
      </c>
      <c r="L108">
        <v>223267</v>
      </c>
      <c r="M108">
        <v>41</v>
      </c>
      <c r="N108">
        <v>1280</v>
      </c>
      <c r="O108">
        <v>1321</v>
      </c>
    </row>
    <row r="109" spans="1:15" hidden="1" x14ac:dyDescent="0.25">
      <c r="A109" s="1">
        <v>40560</v>
      </c>
      <c r="B109">
        <v>1</v>
      </c>
      <c r="C109">
        <v>0</v>
      </c>
      <c r="D109">
        <v>1</v>
      </c>
      <c r="E109">
        <v>1</v>
      </c>
      <c r="F109">
        <v>1</v>
      </c>
      <c r="G109">
        <v>0</v>
      </c>
      <c r="H109">
        <v>2</v>
      </c>
      <c r="I109">
        <v>175833</v>
      </c>
      <c r="J109">
        <v>176771</v>
      </c>
      <c r="K109">
        <v>5375</v>
      </c>
      <c r="L109">
        <v>194017</v>
      </c>
      <c r="M109">
        <v>117</v>
      </c>
      <c r="N109">
        <v>883</v>
      </c>
      <c r="O109">
        <v>1000</v>
      </c>
    </row>
    <row r="110" spans="1:15" hidden="1" x14ac:dyDescent="0.25">
      <c r="A110" s="1">
        <v>40567</v>
      </c>
      <c r="B110">
        <v>1</v>
      </c>
      <c r="C110">
        <v>0</v>
      </c>
      <c r="D110">
        <v>1</v>
      </c>
      <c r="E110">
        <v>0</v>
      </c>
      <c r="F110">
        <v>1</v>
      </c>
      <c r="G110">
        <v>1</v>
      </c>
      <c r="H110">
        <v>1</v>
      </c>
      <c r="I110">
        <v>973913</v>
      </c>
      <c r="J110">
        <v>11793</v>
      </c>
      <c r="K110">
        <v>491739</v>
      </c>
      <c r="L110">
        <v>15833</v>
      </c>
      <c r="M110">
        <v>86</v>
      </c>
      <c r="N110">
        <v>1330</v>
      </c>
      <c r="O110">
        <v>1416</v>
      </c>
    </row>
    <row r="111" spans="1:15" hidden="1" x14ac:dyDescent="0.25">
      <c r="A111" s="1">
        <v>40574</v>
      </c>
      <c r="B111">
        <v>1</v>
      </c>
      <c r="C111">
        <v>0</v>
      </c>
      <c r="D111">
        <v>1</v>
      </c>
      <c r="E111">
        <v>0</v>
      </c>
      <c r="F111">
        <v>1</v>
      </c>
      <c r="G111">
        <v>1</v>
      </c>
      <c r="H111">
        <v>2</v>
      </c>
      <c r="I111">
        <v>180833</v>
      </c>
      <c r="J111">
        <v>18625</v>
      </c>
      <c r="K111">
        <v>60375</v>
      </c>
      <c r="L111">
        <v>187192</v>
      </c>
      <c r="M111">
        <v>42</v>
      </c>
      <c r="N111">
        <v>1459</v>
      </c>
      <c r="O111">
        <v>1501</v>
      </c>
    </row>
    <row r="112" spans="1:15" hidden="1" x14ac:dyDescent="0.25">
      <c r="A112" s="1">
        <v>40581</v>
      </c>
      <c r="B112">
        <v>1</v>
      </c>
      <c r="C112">
        <v>0</v>
      </c>
      <c r="D112">
        <v>2</v>
      </c>
      <c r="E112">
        <v>0</v>
      </c>
      <c r="F112">
        <v>1</v>
      </c>
      <c r="G112">
        <v>1</v>
      </c>
      <c r="H112">
        <v>1</v>
      </c>
      <c r="I112">
        <v>271667</v>
      </c>
      <c r="J112">
        <v>303658</v>
      </c>
      <c r="K112">
        <v>738333</v>
      </c>
      <c r="L112">
        <v>454083</v>
      </c>
      <c r="M112">
        <v>120</v>
      </c>
      <c r="N112">
        <v>1592</v>
      </c>
      <c r="O112">
        <v>1712</v>
      </c>
    </row>
    <row r="113" spans="1:15" hidden="1" x14ac:dyDescent="0.25">
      <c r="A113" s="1">
        <v>40588</v>
      </c>
      <c r="B113">
        <v>1</v>
      </c>
      <c r="C113">
        <v>0</v>
      </c>
      <c r="D113">
        <v>2</v>
      </c>
      <c r="E113">
        <v>0</v>
      </c>
      <c r="F113">
        <v>1</v>
      </c>
      <c r="G113">
        <v>1</v>
      </c>
      <c r="H113">
        <v>1</v>
      </c>
      <c r="I113">
        <v>415</v>
      </c>
      <c r="J113">
        <v>39835</v>
      </c>
      <c r="K113">
        <v>375833</v>
      </c>
      <c r="L113">
        <v>417908</v>
      </c>
      <c r="M113">
        <v>208</v>
      </c>
      <c r="N113">
        <v>1705</v>
      </c>
      <c r="O113">
        <v>1913</v>
      </c>
    </row>
    <row r="114" spans="1:15" hidden="1" x14ac:dyDescent="0.25">
      <c r="A114" s="1">
        <v>40595</v>
      </c>
      <c r="B114">
        <v>1</v>
      </c>
      <c r="C114">
        <v>0</v>
      </c>
      <c r="D114">
        <v>2</v>
      </c>
      <c r="E114">
        <v>1</v>
      </c>
      <c r="F114">
        <v>1</v>
      </c>
      <c r="G114">
        <v>0</v>
      </c>
      <c r="H114">
        <v>2</v>
      </c>
      <c r="I114">
        <v>303333</v>
      </c>
      <c r="J114">
        <v>284075</v>
      </c>
      <c r="K114">
        <v>605</v>
      </c>
      <c r="L114">
        <v>307846</v>
      </c>
      <c r="M114">
        <v>195</v>
      </c>
      <c r="N114">
        <v>912</v>
      </c>
      <c r="O114">
        <v>1107</v>
      </c>
    </row>
    <row r="115" spans="1:15" hidden="1" x14ac:dyDescent="0.25">
      <c r="A115" s="1">
        <v>40602</v>
      </c>
      <c r="B115">
        <v>1</v>
      </c>
      <c r="C115">
        <v>0</v>
      </c>
      <c r="D115">
        <v>2</v>
      </c>
      <c r="E115">
        <v>0</v>
      </c>
      <c r="F115">
        <v>1</v>
      </c>
      <c r="G115">
        <v>1</v>
      </c>
      <c r="H115">
        <v>2</v>
      </c>
      <c r="I115">
        <v>407273</v>
      </c>
      <c r="J115">
        <v>400118</v>
      </c>
      <c r="K115">
        <v>876364</v>
      </c>
      <c r="L115">
        <v>289686</v>
      </c>
      <c r="M115">
        <v>81</v>
      </c>
      <c r="N115">
        <v>1365</v>
      </c>
      <c r="O115">
        <v>1446</v>
      </c>
    </row>
    <row r="116" spans="1:15" hidden="1" x14ac:dyDescent="0.25">
      <c r="A116" s="1">
        <v>40609</v>
      </c>
      <c r="B116">
        <v>1</v>
      </c>
      <c r="C116">
        <v>0</v>
      </c>
      <c r="D116">
        <v>3</v>
      </c>
      <c r="E116">
        <v>0</v>
      </c>
      <c r="F116">
        <v>1</v>
      </c>
      <c r="G116">
        <v>1</v>
      </c>
      <c r="H116">
        <v>1</v>
      </c>
      <c r="I116">
        <v>261739</v>
      </c>
      <c r="J116">
        <v>238461</v>
      </c>
      <c r="K116">
        <v>551304</v>
      </c>
      <c r="L116">
        <v>341352</v>
      </c>
      <c r="M116">
        <v>244</v>
      </c>
      <c r="N116">
        <v>1628</v>
      </c>
      <c r="O116">
        <v>1872</v>
      </c>
    </row>
    <row r="117" spans="1:15" hidden="1" x14ac:dyDescent="0.25">
      <c r="A117" s="1">
        <v>40616</v>
      </c>
      <c r="B117">
        <v>1</v>
      </c>
      <c r="C117">
        <v>0</v>
      </c>
      <c r="D117">
        <v>3</v>
      </c>
      <c r="E117">
        <v>0</v>
      </c>
      <c r="F117">
        <v>1</v>
      </c>
      <c r="G117">
        <v>1</v>
      </c>
      <c r="H117">
        <v>1</v>
      </c>
      <c r="I117">
        <v>325217</v>
      </c>
      <c r="J117">
        <v>332</v>
      </c>
      <c r="K117">
        <v>496957</v>
      </c>
      <c r="L117">
        <v>136926</v>
      </c>
      <c r="M117">
        <v>359</v>
      </c>
      <c r="N117">
        <v>1687</v>
      </c>
      <c r="O117">
        <v>2046</v>
      </c>
    </row>
    <row r="118" spans="1:15" hidden="1" x14ac:dyDescent="0.25">
      <c r="A118" s="1">
        <v>40623</v>
      </c>
      <c r="B118">
        <v>2</v>
      </c>
      <c r="C118">
        <v>0</v>
      </c>
      <c r="D118">
        <v>3</v>
      </c>
      <c r="E118">
        <v>0</v>
      </c>
      <c r="F118">
        <v>1</v>
      </c>
      <c r="G118">
        <v>1</v>
      </c>
      <c r="H118">
        <v>2</v>
      </c>
      <c r="I118">
        <v>430435</v>
      </c>
      <c r="J118">
        <v>409735</v>
      </c>
      <c r="K118">
        <v>737391</v>
      </c>
      <c r="L118">
        <v>288783</v>
      </c>
      <c r="M118">
        <v>401</v>
      </c>
      <c r="N118">
        <v>1676</v>
      </c>
      <c r="O118">
        <v>2077</v>
      </c>
    </row>
    <row r="119" spans="1:15" hidden="1" x14ac:dyDescent="0.25">
      <c r="A119" s="1">
        <v>40630</v>
      </c>
      <c r="B119">
        <v>2</v>
      </c>
      <c r="C119">
        <v>0</v>
      </c>
      <c r="D119">
        <v>3</v>
      </c>
      <c r="E119">
        <v>0</v>
      </c>
      <c r="F119">
        <v>1</v>
      </c>
      <c r="G119">
        <v>1</v>
      </c>
      <c r="H119">
        <v>1</v>
      </c>
      <c r="I119">
        <v>264348</v>
      </c>
      <c r="J119">
        <v>257574</v>
      </c>
      <c r="K119">
        <v>302174</v>
      </c>
      <c r="L119">
        <v>212204</v>
      </c>
      <c r="M119">
        <v>222</v>
      </c>
      <c r="N119">
        <v>1806</v>
      </c>
      <c r="O119">
        <v>2028</v>
      </c>
    </row>
    <row r="120" spans="1:15" hidden="1" x14ac:dyDescent="0.25">
      <c r="A120" s="1">
        <v>40637</v>
      </c>
      <c r="B120">
        <v>2</v>
      </c>
      <c r="C120">
        <v>0</v>
      </c>
      <c r="D120">
        <v>4</v>
      </c>
      <c r="E120">
        <v>0</v>
      </c>
      <c r="F120">
        <v>1</v>
      </c>
      <c r="G120">
        <v>1</v>
      </c>
      <c r="H120">
        <v>1</v>
      </c>
      <c r="I120">
        <v>573333</v>
      </c>
      <c r="J120">
        <v>542929</v>
      </c>
      <c r="K120">
        <v>42625</v>
      </c>
      <c r="L120">
        <v>385571</v>
      </c>
      <c r="M120">
        <v>734</v>
      </c>
      <c r="N120">
        <v>2381</v>
      </c>
      <c r="O120">
        <v>3115</v>
      </c>
    </row>
    <row r="121" spans="1:15" hidden="1" x14ac:dyDescent="0.25">
      <c r="A121" s="1">
        <v>40644</v>
      </c>
      <c r="B121">
        <v>2</v>
      </c>
      <c r="C121">
        <v>0</v>
      </c>
      <c r="D121">
        <v>4</v>
      </c>
      <c r="E121">
        <v>0</v>
      </c>
      <c r="F121">
        <v>1</v>
      </c>
      <c r="G121">
        <v>1</v>
      </c>
      <c r="H121">
        <v>2</v>
      </c>
      <c r="I121">
        <v>595652</v>
      </c>
      <c r="J121">
        <v>565217</v>
      </c>
      <c r="K121">
        <v>716956</v>
      </c>
      <c r="L121">
        <v>324474</v>
      </c>
      <c r="M121">
        <v>855</v>
      </c>
      <c r="N121">
        <v>2493</v>
      </c>
      <c r="O121">
        <v>3348</v>
      </c>
    </row>
    <row r="122" spans="1:15" hidden="1" x14ac:dyDescent="0.25">
      <c r="A122" s="1">
        <v>40651</v>
      </c>
      <c r="B122">
        <v>2</v>
      </c>
      <c r="C122">
        <v>0</v>
      </c>
      <c r="D122">
        <v>4</v>
      </c>
      <c r="E122">
        <v>0</v>
      </c>
      <c r="F122">
        <v>1</v>
      </c>
      <c r="G122">
        <v>1</v>
      </c>
      <c r="H122">
        <v>1</v>
      </c>
      <c r="I122">
        <v>5125</v>
      </c>
      <c r="J122">
        <v>503146</v>
      </c>
      <c r="K122">
        <v>5425</v>
      </c>
      <c r="L122">
        <v>163567</v>
      </c>
      <c r="M122">
        <v>669</v>
      </c>
      <c r="N122">
        <v>2760</v>
      </c>
      <c r="O122">
        <v>3429</v>
      </c>
    </row>
    <row r="123" spans="1:15" hidden="1" x14ac:dyDescent="0.25">
      <c r="A123" s="1">
        <v>40658</v>
      </c>
      <c r="B123">
        <v>2</v>
      </c>
      <c r="C123">
        <v>0</v>
      </c>
      <c r="D123">
        <v>4</v>
      </c>
      <c r="E123">
        <v>0</v>
      </c>
      <c r="F123">
        <v>1</v>
      </c>
      <c r="G123">
        <v>1</v>
      </c>
      <c r="H123">
        <v>1</v>
      </c>
      <c r="I123">
        <v>606667</v>
      </c>
      <c r="J123">
        <v>5745</v>
      </c>
      <c r="K123">
        <v>776667</v>
      </c>
      <c r="L123">
        <v>185333</v>
      </c>
      <c r="M123">
        <v>773</v>
      </c>
      <c r="N123">
        <v>3300</v>
      </c>
      <c r="O123">
        <v>4073</v>
      </c>
    </row>
    <row r="124" spans="1:15" hidden="1" x14ac:dyDescent="0.25">
      <c r="A124" s="1">
        <v>40665</v>
      </c>
      <c r="B124">
        <v>2</v>
      </c>
      <c r="C124">
        <v>0</v>
      </c>
      <c r="D124">
        <v>5</v>
      </c>
      <c r="E124">
        <v>0</v>
      </c>
      <c r="F124">
        <v>1</v>
      </c>
      <c r="G124">
        <v>1</v>
      </c>
      <c r="H124">
        <v>2</v>
      </c>
      <c r="I124">
        <v>549167</v>
      </c>
      <c r="J124">
        <v>532833</v>
      </c>
      <c r="K124">
        <v>73</v>
      </c>
      <c r="L124">
        <v>183454</v>
      </c>
      <c r="M124">
        <v>847</v>
      </c>
      <c r="N124">
        <v>3554</v>
      </c>
      <c r="O124">
        <v>4401</v>
      </c>
    </row>
    <row r="125" spans="1:15" hidden="1" x14ac:dyDescent="0.25">
      <c r="A125" s="1">
        <v>40672</v>
      </c>
      <c r="B125">
        <v>2</v>
      </c>
      <c r="C125">
        <v>0</v>
      </c>
      <c r="D125">
        <v>5</v>
      </c>
      <c r="E125">
        <v>0</v>
      </c>
      <c r="F125">
        <v>1</v>
      </c>
      <c r="G125">
        <v>1</v>
      </c>
      <c r="H125">
        <v>1</v>
      </c>
      <c r="I125">
        <v>5325</v>
      </c>
      <c r="J125">
        <v>525246</v>
      </c>
      <c r="K125">
        <v>58875</v>
      </c>
      <c r="L125">
        <v>176</v>
      </c>
      <c r="M125">
        <v>664</v>
      </c>
      <c r="N125">
        <v>3698</v>
      </c>
      <c r="O125">
        <v>4362</v>
      </c>
    </row>
    <row r="126" spans="1:15" hidden="1" x14ac:dyDescent="0.25">
      <c r="A126" s="1">
        <v>40679</v>
      </c>
      <c r="B126">
        <v>2</v>
      </c>
      <c r="C126">
        <v>0</v>
      </c>
      <c r="D126">
        <v>5</v>
      </c>
      <c r="E126">
        <v>0</v>
      </c>
      <c r="F126">
        <v>1</v>
      </c>
      <c r="G126">
        <v>1</v>
      </c>
      <c r="H126">
        <v>1</v>
      </c>
      <c r="I126">
        <v>5775</v>
      </c>
      <c r="J126">
        <v>550512</v>
      </c>
      <c r="K126">
        <v>787917</v>
      </c>
      <c r="L126">
        <v>126871</v>
      </c>
      <c r="M126">
        <v>773</v>
      </c>
      <c r="N126">
        <v>3185</v>
      </c>
      <c r="O126">
        <v>3958</v>
      </c>
    </row>
    <row r="127" spans="1:15" hidden="1" x14ac:dyDescent="0.25">
      <c r="A127" s="1">
        <v>40686</v>
      </c>
      <c r="B127">
        <v>2</v>
      </c>
      <c r="C127">
        <v>0</v>
      </c>
      <c r="D127">
        <v>5</v>
      </c>
      <c r="E127">
        <v>0</v>
      </c>
      <c r="F127">
        <v>1</v>
      </c>
      <c r="G127">
        <v>1</v>
      </c>
      <c r="H127">
        <v>2</v>
      </c>
      <c r="I127">
        <v>631667</v>
      </c>
      <c r="J127">
        <v>590296</v>
      </c>
      <c r="K127">
        <v>81</v>
      </c>
      <c r="L127">
        <v>233842</v>
      </c>
      <c r="M127">
        <v>836</v>
      </c>
      <c r="N127">
        <v>3438</v>
      </c>
      <c r="O127">
        <v>4274</v>
      </c>
    </row>
    <row r="128" spans="1:15" hidden="1" x14ac:dyDescent="0.25">
      <c r="A128" s="1">
        <v>40693</v>
      </c>
      <c r="B128">
        <v>2</v>
      </c>
      <c r="C128">
        <v>0</v>
      </c>
      <c r="D128">
        <v>5</v>
      </c>
      <c r="E128">
        <v>1</v>
      </c>
      <c r="F128">
        <v>1</v>
      </c>
      <c r="G128">
        <v>0</v>
      </c>
      <c r="H128">
        <v>1</v>
      </c>
      <c r="I128">
        <v>733333</v>
      </c>
      <c r="J128">
        <v>671092</v>
      </c>
      <c r="K128">
        <v>685</v>
      </c>
      <c r="L128">
        <v>131225</v>
      </c>
      <c r="M128">
        <v>1549</v>
      </c>
      <c r="N128">
        <v>2549</v>
      </c>
      <c r="O128">
        <v>4098</v>
      </c>
    </row>
    <row r="129" spans="1:15" hidden="1" x14ac:dyDescent="0.25">
      <c r="A129" s="1">
        <v>40700</v>
      </c>
      <c r="B129">
        <v>2</v>
      </c>
      <c r="C129">
        <v>0</v>
      </c>
      <c r="D129">
        <v>6</v>
      </c>
      <c r="E129">
        <v>0</v>
      </c>
      <c r="F129">
        <v>1</v>
      </c>
      <c r="G129">
        <v>1</v>
      </c>
      <c r="H129">
        <v>1</v>
      </c>
      <c r="I129">
        <v>678333</v>
      </c>
      <c r="J129">
        <v>621858</v>
      </c>
      <c r="K129">
        <v>6</v>
      </c>
      <c r="L129">
        <v>121896</v>
      </c>
      <c r="M129">
        <v>673</v>
      </c>
      <c r="N129">
        <v>3875</v>
      </c>
      <c r="O129">
        <v>4548</v>
      </c>
    </row>
    <row r="130" spans="1:15" hidden="1" x14ac:dyDescent="0.25">
      <c r="A130" s="1">
        <v>40707</v>
      </c>
      <c r="B130">
        <v>2</v>
      </c>
      <c r="C130">
        <v>0</v>
      </c>
      <c r="D130">
        <v>6</v>
      </c>
      <c r="E130">
        <v>0</v>
      </c>
      <c r="F130">
        <v>1</v>
      </c>
      <c r="G130">
        <v>1</v>
      </c>
      <c r="H130">
        <v>1</v>
      </c>
      <c r="I130">
        <v>635</v>
      </c>
      <c r="J130">
        <v>601654</v>
      </c>
      <c r="K130">
        <v>494583</v>
      </c>
      <c r="L130">
        <v>30535</v>
      </c>
      <c r="M130">
        <v>863</v>
      </c>
      <c r="N130">
        <v>4157</v>
      </c>
      <c r="O130">
        <v>5020</v>
      </c>
    </row>
    <row r="131" spans="1:15" hidden="1" x14ac:dyDescent="0.25">
      <c r="A131" s="1">
        <v>40714</v>
      </c>
      <c r="B131">
        <v>2</v>
      </c>
      <c r="C131">
        <v>0</v>
      </c>
      <c r="D131">
        <v>6</v>
      </c>
      <c r="E131">
        <v>0</v>
      </c>
      <c r="F131">
        <v>1</v>
      </c>
      <c r="G131">
        <v>1</v>
      </c>
      <c r="H131">
        <v>2</v>
      </c>
      <c r="I131">
        <v>635</v>
      </c>
      <c r="J131">
        <v>595346</v>
      </c>
      <c r="K131">
        <v>74625</v>
      </c>
      <c r="L131">
        <v>155475</v>
      </c>
      <c r="M131">
        <v>699</v>
      </c>
      <c r="N131">
        <v>3311</v>
      </c>
      <c r="O131">
        <v>4010</v>
      </c>
    </row>
    <row r="132" spans="1:15" hidden="1" x14ac:dyDescent="0.25">
      <c r="A132" s="1">
        <v>40721</v>
      </c>
      <c r="B132">
        <v>3</v>
      </c>
      <c r="C132">
        <v>0</v>
      </c>
      <c r="D132">
        <v>6</v>
      </c>
      <c r="E132">
        <v>0</v>
      </c>
      <c r="F132">
        <v>1</v>
      </c>
      <c r="G132">
        <v>1</v>
      </c>
      <c r="H132">
        <v>2</v>
      </c>
      <c r="I132">
        <v>6825</v>
      </c>
      <c r="J132">
        <v>637004</v>
      </c>
      <c r="K132">
        <v>658333</v>
      </c>
      <c r="L132">
        <v>107588</v>
      </c>
      <c r="M132">
        <v>854</v>
      </c>
      <c r="N132">
        <v>3854</v>
      </c>
      <c r="O132">
        <v>4708</v>
      </c>
    </row>
    <row r="133" spans="1:15" hidden="1" x14ac:dyDescent="0.25">
      <c r="A133" s="1">
        <v>40728</v>
      </c>
      <c r="B133">
        <v>3</v>
      </c>
      <c r="C133">
        <v>0</v>
      </c>
      <c r="D133">
        <v>7</v>
      </c>
      <c r="E133">
        <v>1</v>
      </c>
      <c r="F133">
        <v>1</v>
      </c>
      <c r="G133">
        <v>0</v>
      </c>
      <c r="H133">
        <v>2</v>
      </c>
      <c r="I133">
        <v>726667</v>
      </c>
      <c r="J133">
        <v>665417</v>
      </c>
      <c r="K133">
        <v>637917</v>
      </c>
      <c r="L133">
        <v>814792</v>
      </c>
      <c r="M133">
        <v>3065</v>
      </c>
      <c r="N133">
        <v>2978</v>
      </c>
      <c r="O133">
        <v>6043</v>
      </c>
    </row>
    <row r="134" spans="1:15" hidden="1" x14ac:dyDescent="0.25">
      <c r="A134" s="1">
        <v>40735</v>
      </c>
      <c r="B134">
        <v>3</v>
      </c>
      <c r="C134">
        <v>0</v>
      </c>
      <c r="D134">
        <v>7</v>
      </c>
      <c r="E134">
        <v>0</v>
      </c>
      <c r="F134">
        <v>1</v>
      </c>
      <c r="G134">
        <v>1</v>
      </c>
      <c r="H134">
        <v>1</v>
      </c>
      <c r="I134">
        <v>7625</v>
      </c>
      <c r="J134">
        <v>729804</v>
      </c>
      <c r="K134">
        <v>635833</v>
      </c>
      <c r="L134">
        <v>282337</v>
      </c>
      <c r="M134">
        <v>723</v>
      </c>
      <c r="N134">
        <v>3363</v>
      </c>
      <c r="O134">
        <v>4086</v>
      </c>
    </row>
    <row r="135" spans="1:15" hidden="1" x14ac:dyDescent="0.25">
      <c r="A135" s="1">
        <v>40742</v>
      </c>
      <c r="B135">
        <v>3</v>
      </c>
      <c r="C135">
        <v>0</v>
      </c>
      <c r="D135">
        <v>7</v>
      </c>
      <c r="E135">
        <v>0</v>
      </c>
      <c r="F135">
        <v>1</v>
      </c>
      <c r="G135">
        <v>1</v>
      </c>
      <c r="H135">
        <v>1</v>
      </c>
      <c r="I135">
        <v>746667</v>
      </c>
      <c r="J135">
        <v>703925</v>
      </c>
      <c r="K135">
        <v>65125</v>
      </c>
      <c r="L135">
        <v>215804</v>
      </c>
      <c r="M135">
        <v>841</v>
      </c>
      <c r="N135">
        <v>3617</v>
      </c>
      <c r="O135">
        <v>4458</v>
      </c>
    </row>
    <row r="136" spans="1:15" hidden="1" x14ac:dyDescent="0.25">
      <c r="A136" s="1">
        <v>40749</v>
      </c>
      <c r="B136">
        <v>3</v>
      </c>
      <c r="C136">
        <v>0</v>
      </c>
      <c r="D136">
        <v>7</v>
      </c>
      <c r="E136">
        <v>0</v>
      </c>
      <c r="F136">
        <v>1</v>
      </c>
      <c r="G136">
        <v>1</v>
      </c>
      <c r="H136">
        <v>1</v>
      </c>
      <c r="I136">
        <v>743333</v>
      </c>
      <c r="J136">
        <v>720958</v>
      </c>
      <c r="K136">
        <v>757083</v>
      </c>
      <c r="L136">
        <v>908083</v>
      </c>
      <c r="M136">
        <v>568</v>
      </c>
      <c r="N136">
        <v>3272</v>
      </c>
      <c r="O136">
        <v>3840</v>
      </c>
    </row>
    <row r="137" spans="1:15" hidden="1" x14ac:dyDescent="0.25">
      <c r="A137" s="1">
        <v>40756</v>
      </c>
      <c r="B137">
        <v>3</v>
      </c>
      <c r="C137">
        <v>0</v>
      </c>
      <c r="D137">
        <v>8</v>
      </c>
      <c r="E137">
        <v>0</v>
      </c>
      <c r="F137">
        <v>1</v>
      </c>
      <c r="G137">
        <v>1</v>
      </c>
      <c r="H137">
        <v>1</v>
      </c>
      <c r="I137">
        <v>771667</v>
      </c>
      <c r="J137">
        <v>703292</v>
      </c>
      <c r="K137">
        <v>550833</v>
      </c>
      <c r="L137">
        <v>156717</v>
      </c>
      <c r="M137">
        <v>729</v>
      </c>
      <c r="N137">
        <v>3537</v>
      </c>
      <c r="O137">
        <v>4266</v>
      </c>
    </row>
    <row r="138" spans="1:15" hidden="1" x14ac:dyDescent="0.25">
      <c r="A138" s="1">
        <v>40763</v>
      </c>
      <c r="B138">
        <v>3</v>
      </c>
      <c r="C138">
        <v>0</v>
      </c>
      <c r="D138">
        <v>8</v>
      </c>
      <c r="E138">
        <v>0</v>
      </c>
      <c r="F138">
        <v>1</v>
      </c>
      <c r="G138">
        <v>1</v>
      </c>
      <c r="H138">
        <v>1</v>
      </c>
      <c r="I138">
        <v>765</v>
      </c>
      <c r="J138">
        <v>703283</v>
      </c>
      <c r="K138">
        <v>592083</v>
      </c>
      <c r="L138">
        <v>192175</v>
      </c>
      <c r="M138">
        <v>846</v>
      </c>
      <c r="N138">
        <v>3480</v>
      </c>
      <c r="O138">
        <v>4326</v>
      </c>
    </row>
    <row r="139" spans="1:15" hidden="1" x14ac:dyDescent="0.25">
      <c r="A139" s="1">
        <v>40770</v>
      </c>
      <c r="B139">
        <v>3</v>
      </c>
      <c r="C139">
        <v>0</v>
      </c>
      <c r="D139">
        <v>8</v>
      </c>
      <c r="E139">
        <v>0</v>
      </c>
      <c r="F139">
        <v>1</v>
      </c>
      <c r="G139">
        <v>1</v>
      </c>
      <c r="H139">
        <v>1</v>
      </c>
      <c r="I139">
        <v>665833</v>
      </c>
      <c r="J139">
        <v>616167</v>
      </c>
      <c r="K139">
        <v>712083</v>
      </c>
      <c r="L139">
        <v>208954</v>
      </c>
      <c r="M139">
        <v>775</v>
      </c>
      <c r="N139">
        <v>3563</v>
      </c>
      <c r="O139">
        <v>4338</v>
      </c>
    </row>
    <row r="140" spans="1:15" hidden="1" x14ac:dyDescent="0.25">
      <c r="A140" s="1">
        <v>40777</v>
      </c>
      <c r="B140">
        <v>3</v>
      </c>
      <c r="C140">
        <v>0</v>
      </c>
      <c r="D140">
        <v>8</v>
      </c>
      <c r="E140">
        <v>0</v>
      </c>
      <c r="F140">
        <v>1</v>
      </c>
      <c r="G140">
        <v>1</v>
      </c>
      <c r="H140">
        <v>1</v>
      </c>
      <c r="I140">
        <v>691667</v>
      </c>
      <c r="J140">
        <v>638254</v>
      </c>
      <c r="K140">
        <v>47</v>
      </c>
      <c r="L140">
        <v>27675</v>
      </c>
      <c r="M140">
        <v>833</v>
      </c>
      <c r="N140">
        <v>3925</v>
      </c>
      <c r="O140">
        <v>4758</v>
      </c>
    </row>
    <row r="141" spans="1:15" hidden="1" x14ac:dyDescent="0.25">
      <c r="A141" s="1">
        <v>40784</v>
      </c>
      <c r="B141">
        <v>3</v>
      </c>
      <c r="C141">
        <v>0</v>
      </c>
      <c r="D141">
        <v>8</v>
      </c>
      <c r="E141">
        <v>0</v>
      </c>
      <c r="F141">
        <v>1</v>
      </c>
      <c r="G141">
        <v>1</v>
      </c>
      <c r="H141">
        <v>1</v>
      </c>
      <c r="I141">
        <v>636667</v>
      </c>
      <c r="J141">
        <v>607958</v>
      </c>
      <c r="K141">
        <v>554583</v>
      </c>
      <c r="L141">
        <v>159825</v>
      </c>
      <c r="M141">
        <v>729</v>
      </c>
      <c r="N141">
        <v>3905</v>
      </c>
      <c r="O141">
        <v>4634</v>
      </c>
    </row>
    <row r="142" spans="1:15" hidden="1" x14ac:dyDescent="0.25">
      <c r="A142" s="1">
        <v>40791</v>
      </c>
      <c r="B142">
        <v>3</v>
      </c>
      <c r="C142">
        <v>0</v>
      </c>
      <c r="D142">
        <v>9</v>
      </c>
      <c r="E142">
        <v>1</v>
      </c>
      <c r="F142">
        <v>1</v>
      </c>
      <c r="G142">
        <v>0</v>
      </c>
      <c r="H142">
        <v>2</v>
      </c>
      <c r="I142">
        <v>673333</v>
      </c>
      <c r="J142">
        <v>625646</v>
      </c>
      <c r="K142">
        <v>790417</v>
      </c>
      <c r="L142">
        <v>212696</v>
      </c>
      <c r="M142">
        <v>1236</v>
      </c>
      <c r="N142">
        <v>2115</v>
      </c>
      <c r="O142">
        <v>3351</v>
      </c>
    </row>
    <row r="143" spans="1:15" hidden="1" x14ac:dyDescent="0.25">
      <c r="A143" s="1">
        <v>40798</v>
      </c>
      <c r="B143">
        <v>3</v>
      </c>
      <c r="C143">
        <v>0</v>
      </c>
      <c r="D143">
        <v>9</v>
      </c>
      <c r="E143">
        <v>0</v>
      </c>
      <c r="F143">
        <v>1</v>
      </c>
      <c r="G143">
        <v>1</v>
      </c>
      <c r="H143">
        <v>1</v>
      </c>
      <c r="I143">
        <v>644348</v>
      </c>
      <c r="J143">
        <v>60213</v>
      </c>
      <c r="K143">
        <v>692174</v>
      </c>
      <c r="L143">
        <v>88913</v>
      </c>
      <c r="M143">
        <v>690</v>
      </c>
      <c r="N143">
        <v>4023</v>
      </c>
      <c r="O143">
        <v>4713</v>
      </c>
    </row>
    <row r="144" spans="1:15" hidden="1" x14ac:dyDescent="0.25">
      <c r="A144" s="1">
        <v>40805</v>
      </c>
      <c r="B144">
        <v>3</v>
      </c>
      <c r="C144">
        <v>0</v>
      </c>
      <c r="D144">
        <v>9</v>
      </c>
      <c r="E144">
        <v>0</v>
      </c>
      <c r="F144">
        <v>1</v>
      </c>
      <c r="G144">
        <v>1</v>
      </c>
      <c r="H144">
        <v>2</v>
      </c>
      <c r="I144">
        <v>549167</v>
      </c>
      <c r="J144">
        <v>529675</v>
      </c>
      <c r="K144">
        <v>69</v>
      </c>
      <c r="L144">
        <v>151742</v>
      </c>
      <c r="M144">
        <v>691</v>
      </c>
      <c r="N144">
        <v>3848</v>
      </c>
      <c r="O144">
        <v>4539</v>
      </c>
    </row>
    <row r="145" spans="1:15" hidden="1" x14ac:dyDescent="0.25">
      <c r="A145" s="1">
        <v>40812</v>
      </c>
      <c r="B145">
        <v>4</v>
      </c>
      <c r="C145">
        <v>0</v>
      </c>
      <c r="D145">
        <v>9</v>
      </c>
      <c r="E145">
        <v>0</v>
      </c>
      <c r="F145">
        <v>1</v>
      </c>
      <c r="G145">
        <v>1</v>
      </c>
      <c r="H145">
        <v>2</v>
      </c>
      <c r="I145">
        <v>649167</v>
      </c>
      <c r="J145">
        <v>589042</v>
      </c>
      <c r="K145">
        <v>848333</v>
      </c>
      <c r="L145">
        <v>1107</v>
      </c>
      <c r="M145">
        <v>684</v>
      </c>
      <c r="N145">
        <v>3946</v>
      </c>
      <c r="O145">
        <v>4630</v>
      </c>
    </row>
    <row r="146" spans="1:15" hidden="1" x14ac:dyDescent="0.25">
      <c r="A146" s="1">
        <v>40819</v>
      </c>
      <c r="B146">
        <v>4</v>
      </c>
      <c r="C146">
        <v>0</v>
      </c>
      <c r="D146">
        <v>10</v>
      </c>
      <c r="E146">
        <v>0</v>
      </c>
      <c r="F146">
        <v>1</v>
      </c>
      <c r="G146">
        <v>1</v>
      </c>
      <c r="H146">
        <v>2</v>
      </c>
      <c r="I146">
        <v>384167</v>
      </c>
      <c r="J146">
        <v>392046</v>
      </c>
      <c r="K146">
        <v>760833</v>
      </c>
      <c r="L146">
        <v>833458</v>
      </c>
      <c r="M146">
        <v>330</v>
      </c>
      <c r="N146">
        <v>3240</v>
      </c>
      <c r="O146">
        <v>3570</v>
      </c>
    </row>
    <row r="147" spans="1:15" hidden="1" x14ac:dyDescent="0.25">
      <c r="A147" s="1">
        <v>40826</v>
      </c>
      <c r="B147">
        <v>4</v>
      </c>
      <c r="C147">
        <v>0</v>
      </c>
      <c r="D147">
        <v>10</v>
      </c>
      <c r="E147">
        <v>1</v>
      </c>
      <c r="F147">
        <v>1</v>
      </c>
      <c r="G147">
        <v>0</v>
      </c>
      <c r="H147">
        <v>1</v>
      </c>
      <c r="I147">
        <v>570833</v>
      </c>
      <c r="J147">
        <v>542925</v>
      </c>
      <c r="K147">
        <v>73375</v>
      </c>
      <c r="L147">
        <v>423042</v>
      </c>
      <c r="M147">
        <v>1514</v>
      </c>
      <c r="N147">
        <v>3603</v>
      </c>
      <c r="O147">
        <v>5117</v>
      </c>
    </row>
    <row r="148" spans="1:15" hidden="1" x14ac:dyDescent="0.25">
      <c r="A148" s="1">
        <v>40833</v>
      </c>
      <c r="B148">
        <v>4</v>
      </c>
      <c r="C148">
        <v>0</v>
      </c>
      <c r="D148">
        <v>10</v>
      </c>
      <c r="E148">
        <v>0</v>
      </c>
      <c r="F148">
        <v>1</v>
      </c>
      <c r="G148">
        <v>1</v>
      </c>
      <c r="H148">
        <v>1</v>
      </c>
      <c r="I148">
        <v>534167</v>
      </c>
      <c r="J148">
        <v>510725</v>
      </c>
      <c r="K148">
        <v>579583</v>
      </c>
      <c r="L148">
        <v>175379</v>
      </c>
      <c r="M148">
        <v>713</v>
      </c>
      <c r="N148">
        <v>3857</v>
      </c>
      <c r="O148">
        <v>4570</v>
      </c>
    </row>
    <row r="149" spans="1:15" hidden="1" x14ac:dyDescent="0.25">
      <c r="A149" s="1">
        <v>40840</v>
      </c>
      <c r="B149">
        <v>4</v>
      </c>
      <c r="C149">
        <v>0</v>
      </c>
      <c r="D149">
        <v>10</v>
      </c>
      <c r="E149">
        <v>0</v>
      </c>
      <c r="F149">
        <v>1</v>
      </c>
      <c r="G149">
        <v>1</v>
      </c>
      <c r="H149">
        <v>1</v>
      </c>
      <c r="I149">
        <v>463333</v>
      </c>
      <c r="J149">
        <v>457067</v>
      </c>
      <c r="K149">
        <v>772083</v>
      </c>
      <c r="L149">
        <v>118792</v>
      </c>
      <c r="M149">
        <v>699</v>
      </c>
      <c r="N149">
        <v>3488</v>
      </c>
      <c r="O149">
        <v>4187</v>
      </c>
    </row>
    <row r="150" spans="1:15" hidden="1" x14ac:dyDescent="0.25">
      <c r="A150" s="1">
        <v>40847</v>
      </c>
      <c r="B150">
        <v>4</v>
      </c>
      <c r="C150">
        <v>0</v>
      </c>
      <c r="D150">
        <v>10</v>
      </c>
      <c r="E150">
        <v>0</v>
      </c>
      <c r="F150">
        <v>1</v>
      </c>
      <c r="G150">
        <v>1</v>
      </c>
      <c r="H150">
        <v>1</v>
      </c>
      <c r="I150">
        <v>34</v>
      </c>
      <c r="J150">
        <v>356063</v>
      </c>
      <c r="K150">
        <v>703333</v>
      </c>
      <c r="L150">
        <v>10635</v>
      </c>
      <c r="M150">
        <v>362</v>
      </c>
      <c r="N150">
        <v>3307</v>
      </c>
      <c r="O150">
        <v>3669</v>
      </c>
    </row>
    <row r="151" spans="1:15" hidden="1" x14ac:dyDescent="0.25">
      <c r="A151" s="1">
        <v>40854</v>
      </c>
      <c r="B151">
        <v>4</v>
      </c>
      <c r="C151">
        <v>0</v>
      </c>
      <c r="D151">
        <v>11</v>
      </c>
      <c r="E151">
        <v>0</v>
      </c>
      <c r="F151">
        <v>1</v>
      </c>
      <c r="G151">
        <v>1</v>
      </c>
      <c r="H151">
        <v>1</v>
      </c>
      <c r="I151">
        <v>395</v>
      </c>
      <c r="J151">
        <v>400871</v>
      </c>
      <c r="K151">
        <v>75875</v>
      </c>
      <c r="L151">
        <v>57225</v>
      </c>
      <c r="M151">
        <v>373</v>
      </c>
      <c r="N151">
        <v>3662</v>
      </c>
      <c r="O151">
        <v>4035</v>
      </c>
    </row>
    <row r="152" spans="1:15" hidden="1" x14ac:dyDescent="0.25">
      <c r="A152" s="1">
        <v>40861</v>
      </c>
      <c r="B152">
        <v>4</v>
      </c>
      <c r="C152">
        <v>0</v>
      </c>
      <c r="D152">
        <v>11</v>
      </c>
      <c r="E152">
        <v>0</v>
      </c>
      <c r="F152">
        <v>1</v>
      </c>
      <c r="G152">
        <v>1</v>
      </c>
      <c r="H152">
        <v>1</v>
      </c>
      <c r="I152">
        <v>53</v>
      </c>
      <c r="J152">
        <v>524612</v>
      </c>
      <c r="K152">
        <v>587083</v>
      </c>
      <c r="L152">
        <v>306596</v>
      </c>
      <c r="M152">
        <v>595</v>
      </c>
      <c r="N152">
        <v>3891</v>
      </c>
      <c r="O152">
        <v>4486</v>
      </c>
    </row>
    <row r="153" spans="1:15" hidden="1" x14ac:dyDescent="0.25">
      <c r="A153" s="1">
        <v>40868</v>
      </c>
      <c r="B153">
        <v>4</v>
      </c>
      <c r="C153">
        <v>0</v>
      </c>
      <c r="D153">
        <v>11</v>
      </c>
      <c r="E153">
        <v>0</v>
      </c>
      <c r="F153">
        <v>1</v>
      </c>
      <c r="G153">
        <v>1</v>
      </c>
      <c r="H153">
        <v>3</v>
      </c>
      <c r="I153">
        <v>4475</v>
      </c>
      <c r="J153">
        <v>445062</v>
      </c>
      <c r="K153">
        <v>91</v>
      </c>
      <c r="L153">
        <v>138054</v>
      </c>
      <c r="M153">
        <v>220</v>
      </c>
      <c r="N153">
        <v>2545</v>
      </c>
      <c r="O153">
        <v>2765</v>
      </c>
    </row>
    <row r="154" spans="1:15" hidden="1" x14ac:dyDescent="0.25">
      <c r="A154" s="1">
        <v>40875</v>
      </c>
      <c r="B154">
        <v>4</v>
      </c>
      <c r="C154">
        <v>0</v>
      </c>
      <c r="D154">
        <v>11</v>
      </c>
      <c r="E154">
        <v>0</v>
      </c>
      <c r="F154">
        <v>1</v>
      </c>
      <c r="G154">
        <v>1</v>
      </c>
      <c r="H154">
        <v>1</v>
      </c>
      <c r="I154">
        <v>503478</v>
      </c>
      <c r="J154">
        <v>490122</v>
      </c>
      <c r="K154">
        <v>743043</v>
      </c>
      <c r="L154">
        <v>142122</v>
      </c>
      <c r="M154">
        <v>253</v>
      </c>
      <c r="N154">
        <v>3614</v>
      </c>
      <c r="O154">
        <v>3867</v>
      </c>
    </row>
    <row r="155" spans="1:15" hidden="1" x14ac:dyDescent="0.25">
      <c r="A155" s="1">
        <v>40882</v>
      </c>
      <c r="B155">
        <v>4</v>
      </c>
      <c r="C155">
        <v>0</v>
      </c>
      <c r="D155">
        <v>12</v>
      </c>
      <c r="E155">
        <v>0</v>
      </c>
      <c r="F155">
        <v>1</v>
      </c>
      <c r="G155">
        <v>1</v>
      </c>
      <c r="H155">
        <v>2</v>
      </c>
      <c r="I155">
        <v>385833</v>
      </c>
      <c r="J155">
        <v>393925</v>
      </c>
      <c r="K155">
        <v>827083</v>
      </c>
      <c r="L155">
        <v>622083</v>
      </c>
      <c r="M155">
        <v>233</v>
      </c>
      <c r="N155">
        <v>3578</v>
      </c>
      <c r="O155">
        <v>3811</v>
      </c>
    </row>
    <row r="156" spans="1:15" hidden="1" x14ac:dyDescent="0.25">
      <c r="A156" s="1">
        <v>40889</v>
      </c>
      <c r="B156">
        <v>4</v>
      </c>
      <c r="C156">
        <v>0</v>
      </c>
      <c r="D156">
        <v>12</v>
      </c>
      <c r="E156">
        <v>0</v>
      </c>
      <c r="F156">
        <v>1</v>
      </c>
      <c r="G156">
        <v>1</v>
      </c>
      <c r="H156">
        <v>1</v>
      </c>
      <c r="I156">
        <v>238333</v>
      </c>
      <c r="J156">
        <v>270196</v>
      </c>
      <c r="K156">
        <v>670833</v>
      </c>
      <c r="L156">
        <v>6345</v>
      </c>
      <c r="M156">
        <v>143</v>
      </c>
      <c r="N156">
        <v>3167</v>
      </c>
      <c r="O156">
        <v>3310</v>
      </c>
    </row>
    <row r="157" spans="1:15" hidden="1" x14ac:dyDescent="0.25">
      <c r="A157" s="1">
        <v>40896</v>
      </c>
      <c r="B157">
        <v>4</v>
      </c>
      <c r="C157">
        <v>0</v>
      </c>
      <c r="D157">
        <v>12</v>
      </c>
      <c r="E157">
        <v>0</v>
      </c>
      <c r="F157">
        <v>1</v>
      </c>
      <c r="G157">
        <v>1</v>
      </c>
      <c r="H157">
        <v>1</v>
      </c>
      <c r="I157">
        <v>276667</v>
      </c>
      <c r="J157">
        <v>280933</v>
      </c>
      <c r="K157">
        <v>6375</v>
      </c>
      <c r="L157">
        <v>172896</v>
      </c>
      <c r="M157">
        <v>260</v>
      </c>
      <c r="N157">
        <v>3143</v>
      </c>
      <c r="O157">
        <v>3403</v>
      </c>
    </row>
    <row r="158" spans="1:15" hidden="1" x14ac:dyDescent="0.25">
      <c r="A158" s="1">
        <v>40903</v>
      </c>
      <c r="B158">
        <v>1</v>
      </c>
      <c r="C158">
        <v>0</v>
      </c>
      <c r="D158">
        <v>12</v>
      </c>
      <c r="E158">
        <v>1</v>
      </c>
      <c r="F158">
        <v>1</v>
      </c>
      <c r="G158">
        <v>0</v>
      </c>
      <c r="H158">
        <v>1</v>
      </c>
      <c r="I158">
        <v>321739</v>
      </c>
      <c r="J158">
        <v>315535</v>
      </c>
      <c r="K158">
        <v>506957</v>
      </c>
      <c r="L158">
        <v>239465</v>
      </c>
      <c r="M158">
        <v>430</v>
      </c>
      <c r="N158">
        <v>887</v>
      </c>
      <c r="O158">
        <v>1317</v>
      </c>
    </row>
    <row r="159" spans="1:15" hidden="1" x14ac:dyDescent="0.25">
      <c r="A159" s="1">
        <v>40910</v>
      </c>
      <c r="B159">
        <v>1</v>
      </c>
      <c r="C159">
        <v>1</v>
      </c>
      <c r="D159">
        <v>1</v>
      </c>
      <c r="E159">
        <v>1</v>
      </c>
      <c r="F159">
        <v>1</v>
      </c>
      <c r="G159">
        <v>0</v>
      </c>
      <c r="H159">
        <v>1</v>
      </c>
      <c r="I159">
        <v>273043</v>
      </c>
      <c r="J159">
        <v>252304</v>
      </c>
      <c r="K159">
        <v>381304</v>
      </c>
      <c r="L159">
        <v>329665</v>
      </c>
      <c r="M159">
        <v>244</v>
      </c>
      <c r="N159">
        <v>1707</v>
      </c>
      <c r="O159">
        <v>1951</v>
      </c>
    </row>
    <row r="160" spans="1:15" hidden="1" x14ac:dyDescent="0.25">
      <c r="A160" s="1">
        <v>40917</v>
      </c>
      <c r="B160">
        <v>1</v>
      </c>
      <c r="C160">
        <v>1</v>
      </c>
      <c r="D160">
        <v>1</v>
      </c>
      <c r="E160">
        <v>0</v>
      </c>
      <c r="F160">
        <v>1</v>
      </c>
      <c r="G160">
        <v>1</v>
      </c>
      <c r="H160">
        <v>2</v>
      </c>
      <c r="I160">
        <v>224167</v>
      </c>
      <c r="J160">
        <v>247479</v>
      </c>
      <c r="K160">
        <v>701667</v>
      </c>
      <c r="L160">
        <v>989</v>
      </c>
      <c r="M160">
        <v>106</v>
      </c>
      <c r="N160">
        <v>2270</v>
      </c>
      <c r="O160">
        <v>2376</v>
      </c>
    </row>
    <row r="161" spans="1:15" hidden="1" x14ac:dyDescent="0.25">
      <c r="A161" s="1">
        <v>40924</v>
      </c>
      <c r="B161">
        <v>1</v>
      </c>
      <c r="C161">
        <v>1</v>
      </c>
      <c r="D161">
        <v>1</v>
      </c>
      <c r="E161">
        <v>1</v>
      </c>
      <c r="F161">
        <v>1</v>
      </c>
      <c r="G161">
        <v>0</v>
      </c>
      <c r="H161">
        <v>1</v>
      </c>
      <c r="I161">
        <v>19</v>
      </c>
      <c r="J161">
        <v>190663</v>
      </c>
      <c r="K161">
        <v>5225</v>
      </c>
      <c r="L161">
        <v>231358</v>
      </c>
      <c r="M161">
        <v>217</v>
      </c>
      <c r="N161">
        <v>2081</v>
      </c>
      <c r="O161">
        <v>2298</v>
      </c>
    </row>
    <row r="162" spans="1:15" hidden="1" x14ac:dyDescent="0.25">
      <c r="A162" s="1">
        <v>40931</v>
      </c>
      <c r="B162">
        <v>1</v>
      </c>
      <c r="C162">
        <v>1</v>
      </c>
      <c r="D162">
        <v>1</v>
      </c>
      <c r="E162">
        <v>0</v>
      </c>
      <c r="F162">
        <v>1</v>
      </c>
      <c r="G162">
        <v>1</v>
      </c>
      <c r="H162">
        <v>2</v>
      </c>
      <c r="I162">
        <v>218333</v>
      </c>
      <c r="J162">
        <v>243058</v>
      </c>
      <c r="K162">
        <v>91125</v>
      </c>
      <c r="L162">
        <v>110708</v>
      </c>
      <c r="M162">
        <v>145</v>
      </c>
      <c r="N162">
        <v>2287</v>
      </c>
      <c r="O162">
        <v>2432</v>
      </c>
    </row>
    <row r="163" spans="1:15" hidden="1" x14ac:dyDescent="0.25">
      <c r="A163" s="1">
        <v>40938</v>
      </c>
      <c r="B163">
        <v>1</v>
      </c>
      <c r="C163">
        <v>1</v>
      </c>
      <c r="D163">
        <v>1</v>
      </c>
      <c r="E163">
        <v>0</v>
      </c>
      <c r="F163">
        <v>1</v>
      </c>
      <c r="G163">
        <v>1</v>
      </c>
      <c r="H163">
        <v>1</v>
      </c>
      <c r="I163">
        <v>269167</v>
      </c>
      <c r="J163">
        <v>262625</v>
      </c>
      <c r="K163">
        <v>400833</v>
      </c>
      <c r="L163">
        <v>215792</v>
      </c>
      <c r="M163">
        <v>126</v>
      </c>
      <c r="N163">
        <v>3498</v>
      </c>
      <c r="O163">
        <v>3624</v>
      </c>
    </row>
    <row r="164" spans="1:15" hidden="1" x14ac:dyDescent="0.25">
      <c r="A164" s="1">
        <v>40945</v>
      </c>
      <c r="B164">
        <v>1</v>
      </c>
      <c r="C164">
        <v>1</v>
      </c>
      <c r="D164">
        <v>2</v>
      </c>
      <c r="E164">
        <v>0</v>
      </c>
      <c r="F164">
        <v>1</v>
      </c>
      <c r="G164">
        <v>1</v>
      </c>
      <c r="H164">
        <v>1</v>
      </c>
      <c r="I164">
        <v>282609</v>
      </c>
      <c r="J164">
        <v>296426</v>
      </c>
      <c r="K164">
        <v>622174</v>
      </c>
      <c r="L164">
        <v>1538</v>
      </c>
      <c r="M164">
        <v>206</v>
      </c>
      <c r="N164">
        <v>3578</v>
      </c>
      <c r="O164">
        <v>3784</v>
      </c>
    </row>
    <row r="165" spans="1:15" hidden="1" x14ac:dyDescent="0.25">
      <c r="A165" s="1">
        <v>40952</v>
      </c>
      <c r="B165">
        <v>1</v>
      </c>
      <c r="C165">
        <v>1</v>
      </c>
      <c r="D165">
        <v>2</v>
      </c>
      <c r="E165">
        <v>0</v>
      </c>
      <c r="F165">
        <v>1</v>
      </c>
      <c r="G165">
        <v>1</v>
      </c>
      <c r="H165">
        <v>1</v>
      </c>
      <c r="I165">
        <v>2225</v>
      </c>
      <c r="J165">
        <v>227913</v>
      </c>
      <c r="K165">
        <v>41125</v>
      </c>
      <c r="L165">
        <v>167283</v>
      </c>
      <c r="M165">
        <v>94</v>
      </c>
      <c r="N165">
        <v>3328</v>
      </c>
      <c r="O165">
        <v>3422</v>
      </c>
    </row>
    <row r="166" spans="1:15" hidden="1" x14ac:dyDescent="0.25">
      <c r="A166" s="1">
        <v>40959</v>
      </c>
      <c r="B166">
        <v>1</v>
      </c>
      <c r="C166">
        <v>1</v>
      </c>
      <c r="D166">
        <v>2</v>
      </c>
      <c r="E166">
        <v>1</v>
      </c>
      <c r="F166">
        <v>1</v>
      </c>
      <c r="G166">
        <v>0</v>
      </c>
      <c r="H166">
        <v>1</v>
      </c>
      <c r="I166">
        <v>28</v>
      </c>
      <c r="J166">
        <v>273391</v>
      </c>
      <c r="K166">
        <v>507826</v>
      </c>
      <c r="L166">
        <v>229083</v>
      </c>
      <c r="M166">
        <v>502</v>
      </c>
      <c r="N166">
        <v>2627</v>
      </c>
      <c r="O166">
        <v>3129</v>
      </c>
    </row>
    <row r="167" spans="1:15" hidden="1" x14ac:dyDescent="0.25">
      <c r="A167" s="1">
        <v>40966</v>
      </c>
      <c r="B167">
        <v>1</v>
      </c>
      <c r="C167">
        <v>1</v>
      </c>
      <c r="D167">
        <v>2</v>
      </c>
      <c r="E167">
        <v>0</v>
      </c>
      <c r="F167">
        <v>1</v>
      </c>
      <c r="G167">
        <v>1</v>
      </c>
      <c r="H167">
        <v>1</v>
      </c>
      <c r="I167">
        <v>366667</v>
      </c>
      <c r="J167">
        <v>357954</v>
      </c>
      <c r="K167">
        <v>490833</v>
      </c>
      <c r="L167">
        <v>268033</v>
      </c>
      <c r="M167">
        <v>253</v>
      </c>
      <c r="N167">
        <v>4069</v>
      </c>
      <c r="O167">
        <v>4322</v>
      </c>
    </row>
    <row r="168" spans="1:15" hidden="1" x14ac:dyDescent="0.25">
      <c r="A168" s="1">
        <v>40973</v>
      </c>
      <c r="B168">
        <v>1</v>
      </c>
      <c r="C168">
        <v>1</v>
      </c>
      <c r="D168">
        <v>3</v>
      </c>
      <c r="E168">
        <v>0</v>
      </c>
      <c r="F168">
        <v>1</v>
      </c>
      <c r="G168">
        <v>1</v>
      </c>
      <c r="H168">
        <v>1</v>
      </c>
      <c r="I168">
        <v>243333</v>
      </c>
      <c r="J168">
        <v>241171</v>
      </c>
      <c r="K168">
        <v>50625</v>
      </c>
      <c r="L168">
        <v>228858</v>
      </c>
      <c r="M168">
        <v>203</v>
      </c>
      <c r="N168">
        <v>3130</v>
      </c>
      <c r="O168">
        <v>3333</v>
      </c>
    </row>
    <row r="169" spans="1:15" hidden="1" x14ac:dyDescent="0.25">
      <c r="A169" s="1">
        <v>40980</v>
      </c>
      <c r="B169">
        <v>1</v>
      </c>
      <c r="C169">
        <v>1</v>
      </c>
      <c r="D169">
        <v>3</v>
      </c>
      <c r="E169">
        <v>0</v>
      </c>
      <c r="F169">
        <v>1</v>
      </c>
      <c r="G169">
        <v>1</v>
      </c>
      <c r="H169">
        <v>1</v>
      </c>
      <c r="I169">
        <v>466667</v>
      </c>
      <c r="J169">
        <v>459592</v>
      </c>
      <c r="K169">
        <v>489167</v>
      </c>
      <c r="L169">
        <v>207713</v>
      </c>
      <c r="M169">
        <v>838</v>
      </c>
      <c r="N169">
        <v>4460</v>
      </c>
      <c r="O169">
        <v>5298</v>
      </c>
    </row>
    <row r="170" spans="1:15" hidden="1" x14ac:dyDescent="0.25">
      <c r="A170" s="1">
        <v>40987</v>
      </c>
      <c r="B170">
        <v>1</v>
      </c>
      <c r="C170">
        <v>1</v>
      </c>
      <c r="D170">
        <v>3</v>
      </c>
      <c r="E170">
        <v>0</v>
      </c>
      <c r="F170">
        <v>1</v>
      </c>
      <c r="G170">
        <v>1</v>
      </c>
      <c r="H170">
        <v>1</v>
      </c>
      <c r="I170">
        <v>545</v>
      </c>
      <c r="J170">
        <v>532821</v>
      </c>
      <c r="K170">
        <v>72875</v>
      </c>
      <c r="L170">
        <v>162317</v>
      </c>
      <c r="M170">
        <v>982</v>
      </c>
      <c r="N170">
        <v>5171</v>
      </c>
      <c r="O170">
        <v>6153</v>
      </c>
    </row>
    <row r="171" spans="1:15" hidden="1" x14ac:dyDescent="0.25">
      <c r="A171" s="1">
        <v>40994</v>
      </c>
      <c r="B171">
        <v>2</v>
      </c>
      <c r="C171">
        <v>1</v>
      </c>
      <c r="D171">
        <v>3</v>
      </c>
      <c r="E171">
        <v>0</v>
      </c>
      <c r="F171">
        <v>1</v>
      </c>
      <c r="G171">
        <v>1</v>
      </c>
      <c r="H171">
        <v>1</v>
      </c>
      <c r="I171">
        <v>445833</v>
      </c>
      <c r="J171">
        <v>43875</v>
      </c>
      <c r="K171">
        <v>477917</v>
      </c>
      <c r="L171">
        <v>386821</v>
      </c>
      <c r="M171">
        <v>795</v>
      </c>
      <c r="N171">
        <v>4763</v>
      </c>
      <c r="O171">
        <v>5558</v>
      </c>
    </row>
    <row r="172" spans="1:15" hidden="1" x14ac:dyDescent="0.25">
      <c r="A172" s="1">
        <v>41001</v>
      </c>
      <c r="B172">
        <v>2</v>
      </c>
      <c r="C172">
        <v>1</v>
      </c>
      <c r="D172">
        <v>4</v>
      </c>
      <c r="E172">
        <v>0</v>
      </c>
      <c r="F172">
        <v>1</v>
      </c>
      <c r="G172">
        <v>1</v>
      </c>
      <c r="H172">
        <v>1</v>
      </c>
      <c r="I172">
        <v>433913</v>
      </c>
      <c r="J172">
        <v>427513</v>
      </c>
      <c r="K172">
        <v>504348</v>
      </c>
      <c r="L172">
        <v>312139</v>
      </c>
      <c r="M172">
        <v>1208</v>
      </c>
      <c r="N172">
        <v>4728</v>
      </c>
      <c r="O172">
        <v>5936</v>
      </c>
    </row>
    <row r="173" spans="1:15" hidden="1" x14ac:dyDescent="0.25">
      <c r="A173" s="1">
        <v>41008</v>
      </c>
      <c r="B173">
        <v>2</v>
      </c>
      <c r="C173">
        <v>1</v>
      </c>
      <c r="D173">
        <v>4</v>
      </c>
      <c r="E173">
        <v>0</v>
      </c>
      <c r="F173">
        <v>1</v>
      </c>
      <c r="G173">
        <v>1</v>
      </c>
      <c r="H173">
        <v>1</v>
      </c>
      <c r="I173">
        <v>489167</v>
      </c>
      <c r="J173">
        <v>476638</v>
      </c>
      <c r="K173">
        <v>3175</v>
      </c>
      <c r="L173">
        <v>358196</v>
      </c>
      <c r="M173">
        <v>905</v>
      </c>
      <c r="N173">
        <v>4680</v>
      </c>
      <c r="O173">
        <v>5585</v>
      </c>
    </row>
    <row r="174" spans="1:15" hidden="1" x14ac:dyDescent="0.25">
      <c r="A174" s="1">
        <v>41015</v>
      </c>
      <c r="B174">
        <v>2</v>
      </c>
      <c r="C174">
        <v>1</v>
      </c>
      <c r="D174">
        <v>4</v>
      </c>
      <c r="E174">
        <v>1</v>
      </c>
      <c r="F174">
        <v>1</v>
      </c>
      <c r="G174">
        <v>0</v>
      </c>
      <c r="H174">
        <v>1</v>
      </c>
      <c r="I174">
        <v>664167</v>
      </c>
      <c r="J174">
        <v>614925</v>
      </c>
      <c r="K174">
        <v>561667</v>
      </c>
      <c r="L174">
        <v>284829</v>
      </c>
      <c r="M174">
        <v>1198</v>
      </c>
      <c r="N174">
        <v>5172</v>
      </c>
      <c r="O174">
        <v>6370</v>
      </c>
    </row>
    <row r="175" spans="1:15" hidden="1" x14ac:dyDescent="0.25">
      <c r="A175" s="1">
        <v>41022</v>
      </c>
      <c r="B175">
        <v>2</v>
      </c>
      <c r="C175">
        <v>1</v>
      </c>
      <c r="D175">
        <v>4</v>
      </c>
      <c r="E175">
        <v>0</v>
      </c>
      <c r="F175">
        <v>1</v>
      </c>
      <c r="G175">
        <v>1</v>
      </c>
      <c r="H175">
        <v>2</v>
      </c>
      <c r="I175">
        <v>321667</v>
      </c>
      <c r="J175">
        <v>301125</v>
      </c>
      <c r="K175">
        <v>766667</v>
      </c>
      <c r="L175">
        <v>303496</v>
      </c>
      <c r="M175">
        <v>195</v>
      </c>
      <c r="N175">
        <v>3019</v>
      </c>
      <c r="O175">
        <v>3214</v>
      </c>
    </row>
    <row r="176" spans="1:15" hidden="1" x14ac:dyDescent="0.25">
      <c r="A176" s="1">
        <v>41029</v>
      </c>
      <c r="B176">
        <v>2</v>
      </c>
      <c r="C176">
        <v>1</v>
      </c>
      <c r="D176">
        <v>4</v>
      </c>
      <c r="E176">
        <v>0</v>
      </c>
      <c r="F176">
        <v>1</v>
      </c>
      <c r="G176">
        <v>1</v>
      </c>
      <c r="H176">
        <v>2</v>
      </c>
      <c r="I176">
        <v>464167</v>
      </c>
      <c r="J176">
        <v>457696</v>
      </c>
      <c r="K176">
        <v>57</v>
      </c>
      <c r="L176">
        <v>171638</v>
      </c>
      <c r="M176">
        <v>665</v>
      </c>
      <c r="N176">
        <v>4907</v>
      </c>
      <c r="O176">
        <v>5572</v>
      </c>
    </row>
    <row r="177" spans="1:15" hidden="1" x14ac:dyDescent="0.25">
      <c r="A177" s="1">
        <v>41036</v>
      </c>
      <c r="B177">
        <v>2</v>
      </c>
      <c r="C177">
        <v>1</v>
      </c>
      <c r="D177">
        <v>5</v>
      </c>
      <c r="E177">
        <v>0</v>
      </c>
      <c r="F177">
        <v>1</v>
      </c>
      <c r="G177">
        <v>1</v>
      </c>
      <c r="H177">
        <v>2</v>
      </c>
      <c r="I177">
        <v>5375</v>
      </c>
      <c r="J177">
        <v>527142</v>
      </c>
      <c r="K177">
        <v>664167</v>
      </c>
      <c r="L177">
        <v>230721</v>
      </c>
      <c r="M177">
        <v>1008</v>
      </c>
      <c r="N177">
        <v>5265</v>
      </c>
      <c r="O177">
        <v>6273</v>
      </c>
    </row>
    <row r="178" spans="1:15" hidden="1" x14ac:dyDescent="0.25">
      <c r="A178" s="1">
        <v>41043</v>
      </c>
      <c r="B178">
        <v>2</v>
      </c>
      <c r="C178">
        <v>1</v>
      </c>
      <c r="D178">
        <v>5</v>
      </c>
      <c r="E178">
        <v>0</v>
      </c>
      <c r="F178">
        <v>1</v>
      </c>
      <c r="G178">
        <v>1</v>
      </c>
      <c r="H178">
        <v>2</v>
      </c>
      <c r="I178">
        <v>573333</v>
      </c>
      <c r="J178">
        <v>5499</v>
      </c>
      <c r="K178">
        <v>789583</v>
      </c>
      <c r="L178">
        <v>212692</v>
      </c>
      <c r="M178">
        <v>342</v>
      </c>
      <c r="N178">
        <v>2501</v>
      </c>
      <c r="O178">
        <v>2843</v>
      </c>
    </row>
    <row r="179" spans="1:15" hidden="1" x14ac:dyDescent="0.25">
      <c r="A179" s="1">
        <v>41050</v>
      </c>
      <c r="B179">
        <v>2</v>
      </c>
      <c r="C179">
        <v>1</v>
      </c>
      <c r="D179">
        <v>5</v>
      </c>
      <c r="E179">
        <v>0</v>
      </c>
      <c r="F179">
        <v>1</v>
      </c>
      <c r="G179">
        <v>1</v>
      </c>
      <c r="H179">
        <v>2</v>
      </c>
      <c r="I179">
        <v>598333</v>
      </c>
      <c r="J179">
        <v>565667</v>
      </c>
      <c r="K179">
        <v>81125</v>
      </c>
      <c r="L179">
        <v>233204</v>
      </c>
      <c r="M179">
        <v>630</v>
      </c>
      <c r="N179">
        <v>3729</v>
      </c>
      <c r="O179">
        <v>4359</v>
      </c>
    </row>
    <row r="180" spans="1:15" hidden="1" x14ac:dyDescent="0.25">
      <c r="A180" s="1">
        <v>41057</v>
      </c>
      <c r="B180">
        <v>2</v>
      </c>
      <c r="C180">
        <v>1</v>
      </c>
      <c r="D180">
        <v>5</v>
      </c>
      <c r="E180">
        <v>1</v>
      </c>
      <c r="F180">
        <v>1</v>
      </c>
      <c r="G180">
        <v>0</v>
      </c>
      <c r="H180">
        <v>1</v>
      </c>
      <c r="I180">
        <v>7125</v>
      </c>
      <c r="J180">
        <v>6793</v>
      </c>
      <c r="K180">
        <v>67625</v>
      </c>
      <c r="L180">
        <v>196521</v>
      </c>
      <c r="M180">
        <v>2557</v>
      </c>
      <c r="N180">
        <v>3486</v>
      </c>
      <c r="O180">
        <v>6043</v>
      </c>
    </row>
    <row r="181" spans="1:15" hidden="1" x14ac:dyDescent="0.25">
      <c r="A181" s="1">
        <v>41064</v>
      </c>
      <c r="B181">
        <v>2</v>
      </c>
      <c r="C181">
        <v>1</v>
      </c>
      <c r="D181">
        <v>6</v>
      </c>
      <c r="E181">
        <v>0</v>
      </c>
      <c r="F181">
        <v>1</v>
      </c>
      <c r="G181">
        <v>1</v>
      </c>
      <c r="H181">
        <v>1</v>
      </c>
      <c r="I181">
        <v>5975</v>
      </c>
      <c r="J181">
        <v>578283</v>
      </c>
      <c r="K181">
        <v>487083</v>
      </c>
      <c r="L181">
        <v>284833</v>
      </c>
      <c r="M181">
        <v>1071</v>
      </c>
      <c r="N181">
        <v>5927</v>
      </c>
      <c r="O181">
        <v>6998</v>
      </c>
    </row>
    <row r="182" spans="1:15" hidden="1" x14ac:dyDescent="0.25">
      <c r="A182" s="1">
        <v>41071</v>
      </c>
      <c r="B182">
        <v>2</v>
      </c>
      <c r="C182">
        <v>1</v>
      </c>
      <c r="D182">
        <v>6</v>
      </c>
      <c r="E182">
        <v>0</v>
      </c>
      <c r="F182">
        <v>1</v>
      </c>
      <c r="G182">
        <v>1</v>
      </c>
      <c r="H182">
        <v>2</v>
      </c>
      <c r="I182">
        <v>720833</v>
      </c>
      <c r="J182">
        <v>659721</v>
      </c>
      <c r="K182">
        <v>587917</v>
      </c>
      <c r="L182">
        <v>207713</v>
      </c>
      <c r="M182">
        <v>1017</v>
      </c>
      <c r="N182">
        <v>5647</v>
      </c>
      <c r="O182">
        <v>6664</v>
      </c>
    </row>
    <row r="183" spans="1:15" hidden="1" x14ac:dyDescent="0.25">
      <c r="A183" s="1">
        <v>41078</v>
      </c>
      <c r="B183">
        <v>2</v>
      </c>
      <c r="C183">
        <v>1</v>
      </c>
      <c r="D183">
        <v>6</v>
      </c>
      <c r="E183">
        <v>0</v>
      </c>
      <c r="F183">
        <v>1</v>
      </c>
      <c r="G183">
        <v>1</v>
      </c>
      <c r="H183">
        <v>2</v>
      </c>
      <c r="I183">
        <v>568333</v>
      </c>
      <c r="J183">
        <v>544842</v>
      </c>
      <c r="K183">
        <v>777917</v>
      </c>
      <c r="L183">
        <v>174746</v>
      </c>
      <c r="M183">
        <v>653</v>
      </c>
      <c r="N183">
        <v>4446</v>
      </c>
      <c r="O183">
        <v>5099</v>
      </c>
    </row>
    <row r="184" spans="1:15" hidden="1" x14ac:dyDescent="0.25">
      <c r="A184" s="1">
        <v>41085</v>
      </c>
      <c r="B184">
        <v>3</v>
      </c>
      <c r="C184">
        <v>1</v>
      </c>
      <c r="D184">
        <v>6</v>
      </c>
      <c r="E184">
        <v>0</v>
      </c>
      <c r="F184">
        <v>1</v>
      </c>
      <c r="G184">
        <v>1</v>
      </c>
      <c r="H184">
        <v>1</v>
      </c>
      <c r="I184">
        <v>715833</v>
      </c>
      <c r="J184">
        <v>654042</v>
      </c>
      <c r="K184">
        <v>504167</v>
      </c>
      <c r="L184">
        <v>300383</v>
      </c>
      <c r="M184">
        <v>1139</v>
      </c>
      <c r="N184">
        <v>5640</v>
      </c>
      <c r="O184">
        <v>6779</v>
      </c>
    </row>
    <row r="185" spans="1:15" hidden="1" x14ac:dyDescent="0.25">
      <c r="A185" s="1">
        <v>41092</v>
      </c>
      <c r="B185">
        <v>3</v>
      </c>
      <c r="C185">
        <v>1</v>
      </c>
      <c r="D185">
        <v>7</v>
      </c>
      <c r="E185">
        <v>0</v>
      </c>
      <c r="F185">
        <v>1</v>
      </c>
      <c r="G185">
        <v>1</v>
      </c>
      <c r="H185">
        <v>1</v>
      </c>
      <c r="I185">
        <v>781667</v>
      </c>
      <c r="J185">
        <v>702038</v>
      </c>
      <c r="K185">
        <v>447083</v>
      </c>
      <c r="L185">
        <v>195267</v>
      </c>
      <c r="M185">
        <v>904</v>
      </c>
      <c r="N185">
        <v>5323</v>
      </c>
      <c r="O185">
        <v>6227</v>
      </c>
    </row>
    <row r="186" spans="1:15" hidden="1" x14ac:dyDescent="0.25">
      <c r="A186" s="1">
        <v>41099</v>
      </c>
      <c r="B186">
        <v>3</v>
      </c>
      <c r="C186">
        <v>1</v>
      </c>
      <c r="D186">
        <v>7</v>
      </c>
      <c r="E186">
        <v>0</v>
      </c>
      <c r="F186">
        <v>1</v>
      </c>
      <c r="G186">
        <v>1</v>
      </c>
      <c r="H186">
        <v>2</v>
      </c>
      <c r="I186">
        <v>710833</v>
      </c>
      <c r="J186">
        <v>654054</v>
      </c>
      <c r="K186">
        <v>683333</v>
      </c>
      <c r="L186">
        <v>180975</v>
      </c>
      <c r="M186">
        <v>998</v>
      </c>
      <c r="N186">
        <v>5571</v>
      </c>
      <c r="O186">
        <v>6569</v>
      </c>
    </row>
    <row r="187" spans="1:15" hidden="1" x14ac:dyDescent="0.25">
      <c r="A187" s="1">
        <v>41106</v>
      </c>
      <c r="B187">
        <v>3</v>
      </c>
      <c r="C187">
        <v>1</v>
      </c>
      <c r="D187">
        <v>7</v>
      </c>
      <c r="E187">
        <v>0</v>
      </c>
      <c r="F187">
        <v>1</v>
      </c>
      <c r="G187">
        <v>1</v>
      </c>
      <c r="H187">
        <v>1</v>
      </c>
      <c r="I187">
        <v>763333</v>
      </c>
      <c r="J187">
        <v>724125</v>
      </c>
      <c r="K187">
        <v>645</v>
      </c>
      <c r="L187">
        <v>164187</v>
      </c>
      <c r="M187">
        <v>1088</v>
      </c>
      <c r="N187">
        <v>5742</v>
      </c>
      <c r="O187">
        <v>6830</v>
      </c>
    </row>
    <row r="188" spans="1:15" hidden="1" x14ac:dyDescent="0.25">
      <c r="A188" s="1">
        <v>41113</v>
      </c>
      <c r="B188">
        <v>3</v>
      </c>
      <c r="C188">
        <v>1</v>
      </c>
      <c r="D188">
        <v>7</v>
      </c>
      <c r="E188">
        <v>0</v>
      </c>
      <c r="F188">
        <v>1</v>
      </c>
      <c r="G188">
        <v>1</v>
      </c>
      <c r="H188">
        <v>1</v>
      </c>
      <c r="I188">
        <v>741667</v>
      </c>
      <c r="J188">
        <v>690017</v>
      </c>
      <c r="K188">
        <v>694167</v>
      </c>
      <c r="L188">
        <v>138683</v>
      </c>
      <c r="M188">
        <v>1135</v>
      </c>
      <c r="N188">
        <v>5831</v>
      </c>
      <c r="O188">
        <v>6966</v>
      </c>
    </row>
    <row r="189" spans="1:15" hidden="1" x14ac:dyDescent="0.25">
      <c r="A189" s="1">
        <v>41120</v>
      </c>
      <c r="B189">
        <v>3</v>
      </c>
      <c r="C189">
        <v>1</v>
      </c>
      <c r="D189">
        <v>7</v>
      </c>
      <c r="E189">
        <v>0</v>
      </c>
      <c r="F189">
        <v>1</v>
      </c>
      <c r="G189">
        <v>1</v>
      </c>
      <c r="H189">
        <v>1</v>
      </c>
      <c r="I189">
        <v>730833</v>
      </c>
      <c r="J189">
        <v>684987</v>
      </c>
      <c r="K189">
        <v>66875</v>
      </c>
      <c r="L189">
        <v>153617</v>
      </c>
      <c r="M189">
        <v>1040</v>
      </c>
      <c r="N189">
        <v>6065</v>
      </c>
      <c r="O189">
        <v>7105</v>
      </c>
    </row>
    <row r="190" spans="1:15" hidden="1" x14ac:dyDescent="0.25">
      <c r="A190" s="1">
        <v>41127</v>
      </c>
      <c r="B190">
        <v>3</v>
      </c>
      <c r="C190">
        <v>1</v>
      </c>
      <c r="D190">
        <v>8</v>
      </c>
      <c r="E190">
        <v>0</v>
      </c>
      <c r="F190">
        <v>1</v>
      </c>
      <c r="G190">
        <v>1</v>
      </c>
      <c r="H190">
        <v>2</v>
      </c>
      <c r="I190">
        <v>7525</v>
      </c>
      <c r="J190">
        <v>710246</v>
      </c>
      <c r="K190">
        <v>654167</v>
      </c>
      <c r="L190">
        <v>129354</v>
      </c>
      <c r="M190">
        <v>1233</v>
      </c>
      <c r="N190">
        <v>5780</v>
      </c>
      <c r="O190">
        <v>7013</v>
      </c>
    </row>
    <row r="191" spans="1:15" hidden="1" x14ac:dyDescent="0.25">
      <c r="A191" s="1">
        <v>41134</v>
      </c>
      <c r="B191">
        <v>3</v>
      </c>
      <c r="C191">
        <v>1</v>
      </c>
      <c r="D191">
        <v>8</v>
      </c>
      <c r="E191">
        <v>0</v>
      </c>
      <c r="F191">
        <v>1</v>
      </c>
      <c r="G191">
        <v>1</v>
      </c>
      <c r="H191">
        <v>1</v>
      </c>
      <c r="I191">
        <v>720833</v>
      </c>
      <c r="J191">
        <v>662254</v>
      </c>
      <c r="K191">
        <v>545417</v>
      </c>
      <c r="L191">
        <v>136212</v>
      </c>
      <c r="M191">
        <v>1207</v>
      </c>
      <c r="N191">
        <v>5676</v>
      </c>
      <c r="O191">
        <v>6883</v>
      </c>
    </row>
    <row r="192" spans="1:15" hidden="1" x14ac:dyDescent="0.25">
      <c r="A192" s="1">
        <v>41141</v>
      </c>
      <c r="B192">
        <v>3</v>
      </c>
      <c r="C192">
        <v>1</v>
      </c>
      <c r="D192">
        <v>8</v>
      </c>
      <c r="E192">
        <v>0</v>
      </c>
      <c r="F192">
        <v>1</v>
      </c>
      <c r="G192">
        <v>1</v>
      </c>
      <c r="H192">
        <v>2</v>
      </c>
      <c r="I192">
        <v>635833</v>
      </c>
      <c r="J192">
        <v>595967</v>
      </c>
      <c r="K192">
        <v>734167</v>
      </c>
      <c r="L192">
        <v>129979</v>
      </c>
      <c r="M192">
        <v>1026</v>
      </c>
      <c r="N192">
        <v>5504</v>
      </c>
      <c r="O192">
        <v>6530</v>
      </c>
    </row>
    <row r="193" spans="1:15" hidden="1" x14ac:dyDescent="0.25">
      <c r="A193" s="1">
        <v>41148</v>
      </c>
      <c r="B193">
        <v>3</v>
      </c>
      <c r="C193">
        <v>1</v>
      </c>
      <c r="D193">
        <v>8</v>
      </c>
      <c r="E193">
        <v>0</v>
      </c>
      <c r="F193">
        <v>1</v>
      </c>
      <c r="G193">
        <v>1</v>
      </c>
      <c r="H193">
        <v>1</v>
      </c>
      <c r="I193">
        <v>703333</v>
      </c>
      <c r="J193">
        <v>654688</v>
      </c>
      <c r="K193">
        <v>730417</v>
      </c>
      <c r="L193">
        <v>128733</v>
      </c>
      <c r="M193">
        <v>989</v>
      </c>
      <c r="N193">
        <v>5928</v>
      </c>
      <c r="O193">
        <v>6917</v>
      </c>
    </row>
    <row r="194" spans="1:15" hidden="1" x14ac:dyDescent="0.25">
      <c r="A194" s="1">
        <v>41155</v>
      </c>
      <c r="B194">
        <v>3</v>
      </c>
      <c r="C194">
        <v>1</v>
      </c>
      <c r="D194">
        <v>9</v>
      </c>
      <c r="E194">
        <v>1</v>
      </c>
      <c r="F194">
        <v>1</v>
      </c>
      <c r="G194">
        <v>0</v>
      </c>
      <c r="H194">
        <v>1</v>
      </c>
      <c r="I194">
        <v>7075</v>
      </c>
      <c r="J194">
        <v>661629</v>
      </c>
      <c r="K194">
        <v>790833</v>
      </c>
      <c r="L194">
        <v>151121</v>
      </c>
      <c r="M194">
        <v>1965</v>
      </c>
      <c r="N194">
        <v>4069</v>
      </c>
      <c r="O194">
        <v>6034</v>
      </c>
    </row>
    <row r="195" spans="1:15" hidden="1" x14ac:dyDescent="0.25">
      <c r="A195" s="1">
        <v>41162</v>
      </c>
      <c r="B195">
        <v>3</v>
      </c>
      <c r="C195">
        <v>1</v>
      </c>
      <c r="D195">
        <v>9</v>
      </c>
      <c r="E195">
        <v>0</v>
      </c>
      <c r="F195">
        <v>1</v>
      </c>
      <c r="G195">
        <v>1</v>
      </c>
      <c r="H195">
        <v>1</v>
      </c>
      <c r="I195">
        <v>583333</v>
      </c>
      <c r="J195">
        <v>565654</v>
      </c>
      <c r="K195">
        <v>50375</v>
      </c>
      <c r="L195">
        <v>258713</v>
      </c>
      <c r="M195">
        <v>1118</v>
      </c>
      <c r="N195">
        <v>6407</v>
      </c>
      <c r="O195">
        <v>7525</v>
      </c>
    </row>
    <row r="196" spans="1:15" hidden="1" x14ac:dyDescent="0.25">
      <c r="A196" s="1">
        <v>41169</v>
      </c>
      <c r="B196">
        <v>3</v>
      </c>
      <c r="C196">
        <v>1</v>
      </c>
      <c r="D196">
        <v>9</v>
      </c>
      <c r="E196">
        <v>0</v>
      </c>
      <c r="F196">
        <v>1</v>
      </c>
      <c r="G196">
        <v>1</v>
      </c>
      <c r="H196">
        <v>2</v>
      </c>
      <c r="I196">
        <v>580833</v>
      </c>
      <c r="J196">
        <v>55305</v>
      </c>
      <c r="K196">
        <v>734583</v>
      </c>
      <c r="L196">
        <v>151742</v>
      </c>
      <c r="M196">
        <v>1022</v>
      </c>
      <c r="N196">
        <v>5847</v>
      </c>
      <c r="O196">
        <v>6869</v>
      </c>
    </row>
    <row r="197" spans="1:15" hidden="1" x14ac:dyDescent="0.25">
      <c r="A197" s="1">
        <v>41176</v>
      </c>
      <c r="B197">
        <v>4</v>
      </c>
      <c r="C197">
        <v>1</v>
      </c>
      <c r="D197">
        <v>9</v>
      </c>
      <c r="E197">
        <v>0</v>
      </c>
      <c r="F197">
        <v>1</v>
      </c>
      <c r="G197">
        <v>1</v>
      </c>
      <c r="H197">
        <v>1</v>
      </c>
      <c r="I197">
        <v>514167</v>
      </c>
      <c r="J197">
        <v>502513</v>
      </c>
      <c r="K197">
        <v>492917</v>
      </c>
      <c r="L197">
        <v>142404</v>
      </c>
      <c r="M197">
        <v>1001</v>
      </c>
      <c r="N197">
        <v>6435</v>
      </c>
      <c r="O197">
        <v>7436</v>
      </c>
    </row>
    <row r="198" spans="1:15" hidden="1" x14ac:dyDescent="0.25">
      <c r="A198" s="1">
        <v>41183</v>
      </c>
      <c r="B198">
        <v>4</v>
      </c>
      <c r="C198">
        <v>1</v>
      </c>
      <c r="D198">
        <v>10</v>
      </c>
      <c r="E198">
        <v>0</v>
      </c>
      <c r="F198">
        <v>1</v>
      </c>
      <c r="G198">
        <v>1</v>
      </c>
      <c r="H198">
        <v>2</v>
      </c>
      <c r="I198">
        <v>520833</v>
      </c>
      <c r="J198">
        <v>512</v>
      </c>
      <c r="K198">
        <v>649167</v>
      </c>
      <c r="L198">
        <v>908042</v>
      </c>
      <c r="M198">
        <v>763</v>
      </c>
      <c r="N198">
        <v>6015</v>
      </c>
      <c r="O198">
        <v>6778</v>
      </c>
    </row>
    <row r="199" spans="1:15" hidden="1" x14ac:dyDescent="0.25">
      <c r="A199" s="1">
        <v>41190</v>
      </c>
      <c r="B199">
        <v>4</v>
      </c>
      <c r="C199">
        <v>1</v>
      </c>
      <c r="D199">
        <v>10</v>
      </c>
      <c r="E199">
        <v>1</v>
      </c>
      <c r="F199">
        <v>1</v>
      </c>
      <c r="G199">
        <v>0</v>
      </c>
      <c r="H199">
        <v>2</v>
      </c>
      <c r="I199">
        <v>383333</v>
      </c>
      <c r="J199">
        <v>387608</v>
      </c>
      <c r="K199">
        <v>709583</v>
      </c>
      <c r="L199">
        <v>189679</v>
      </c>
      <c r="M199">
        <v>874</v>
      </c>
      <c r="N199">
        <v>4604</v>
      </c>
      <c r="O199">
        <v>5478</v>
      </c>
    </row>
    <row r="200" spans="1:15" hidden="1" x14ac:dyDescent="0.25">
      <c r="A200" s="1">
        <v>41197</v>
      </c>
      <c r="B200">
        <v>4</v>
      </c>
      <c r="C200">
        <v>1</v>
      </c>
      <c r="D200">
        <v>10</v>
      </c>
      <c r="E200">
        <v>0</v>
      </c>
      <c r="F200">
        <v>1</v>
      </c>
      <c r="G200">
        <v>1</v>
      </c>
      <c r="H200">
        <v>2</v>
      </c>
      <c r="I200">
        <v>561667</v>
      </c>
      <c r="J200">
        <v>53915</v>
      </c>
      <c r="K200">
        <v>7075</v>
      </c>
      <c r="L200">
        <v>296037</v>
      </c>
      <c r="M200">
        <v>760</v>
      </c>
      <c r="N200">
        <v>5115</v>
      </c>
      <c r="O200">
        <v>5875</v>
      </c>
    </row>
    <row r="201" spans="1:15" hidden="1" x14ac:dyDescent="0.25">
      <c r="A201" s="1">
        <v>41204</v>
      </c>
      <c r="B201">
        <v>4</v>
      </c>
      <c r="C201">
        <v>1</v>
      </c>
      <c r="D201">
        <v>10</v>
      </c>
      <c r="E201">
        <v>0</v>
      </c>
      <c r="F201">
        <v>1</v>
      </c>
      <c r="G201">
        <v>1</v>
      </c>
      <c r="H201">
        <v>1</v>
      </c>
      <c r="I201">
        <v>4875</v>
      </c>
      <c r="J201">
        <v>482942</v>
      </c>
      <c r="K201">
        <v>568333</v>
      </c>
      <c r="L201">
        <v>814833</v>
      </c>
      <c r="M201">
        <v>830</v>
      </c>
      <c r="N201">
        <v>6228</v>
      </c>
      <c r="O201">
        <v>7058</v>
      </c>
    </row>
    <row r="202" spans="1:15" hidden="1" x14ac:dyDescent="0.25">
      <c r="A202" s="1">
        <v>41211</v>
      </c>
      <c r="B202">
        <v>4</v>
      </c>
      <c r="C202">
        <v>1</v>
      </c>
      <c r="D202">
        <v>10</v>
      </c>
      <c r="E202">
        <v>0</v>
      </c>
      <c r="F202">
        <v>1</v>
      </c>
      <c r="G202">
        <v>1</v>
      </c>
      <c r="H202">
        <v>3</v>
      </c>
      <c r="I202">
        <v>44</v>
      </c>
      <c r="J202">
        <v>4394</v>
      </c>
      <c r="K202">
        <v>88</v>
      </c>
      <c r="L202">
        <v>3582</v>
      </c>
      <c r="M202">
        <v>2</v>
      </c>
      <c r="N202">
        <v>20</v>
      </c>
      <c r="O202">
        <v>22</v>
      </c>
    </row>
    <row r="203" spans="1:15" hidden="1" x14ac:dyDescent="0.25">
      <c r="A203" s="1">
        <v>41218</v>
      </c>
      <c r="B203">
        <v>4</v>
      </c>
      <c r="C203">
        <v>1</v>
      </c>
      <c r="D203">
        <v>11</v>
      </c>
      <c r="E203">
        <v>0</v>
      </c>
      <c r="F203">
        <v>1</v>
      </c>
      <c r="G203">
        <v>1</v>
      </c>
      <c r="H203">
        <v>1</v>
      </c>
      <c r="I203">
        <v>319167</v>
      </c>
      <c r="J203">
        <v>308075</v>
      </c>
      <c r="K203">
        <v>494167</v>
      </c>
      <c r="L203">
        <v>236325</v>
      </c>
      <c r="M203">
        <v>378</v>
      </c>
      <c r="N203">
        <v>4881</v>
      </c>
      <c r="O203">
        <v>5259</v>
      </c>
    </row>
    <row r="204" spans="1:15" hidden="1" x14ac:dyDescent="0.25">
      <c r="A204" s="1">
        <v>41225</v>
      </c>
      <c r="B204">
        <v>4</v>
      </c>
      <c r="C204">
        <v>1</v>
      </c>
      <c r="D204">
        <v>11</v>
      </c>
      <c r="E204">
        <v>1</v>
      </c>
      <c r="F204">
        <v>1</v>
      </c>
      <c r="G204">
        <v>0</v>
      </c>
      <c r="H204">
        <v>1</v>
      </c>
      <c r="I204">
        <v>485</v>
      </c>
      <c r="J204">
        <v>475383</v>
      </c>
      <c r="K204">
        <v>741667</v>
      </c>
      <c r="L204">
        <v>173517</v>
      </c>
      <c r="M204">
        <v>1097</v>
      </c>
      <c r="N204">
        <v>5172</v>
      </c>
      <c r="O204">
        <v>6269</v>
      </c>
    </row>
    <row r="205" spans="1:15" hidden="1" x14ac:dyDescent="0.25">
      <c r="A205" s="1">
        <v>41232</v>
      </c>
      <c r="B205">
        <v>4</v>
      </c>
      <c r="C205">
        <v>1</v>
      </c>
      <c r="D205">
        <v>11</v>
      </c>
      <c r="E205">
        <v>0</v>
      </c>
      <c r="F205">
        <v>1</v>
      </c>
      <c r="G205">
        <v>1</v>
      </c>
      <c r="H205">
        <v>2</v>
      </c>
      <c r="I205">
        <v>380833</v>
      </c>
      <c r="J205">
        <v>375621</v>
      </c>
      <c r="K205">
        <v>623333</v>
      </c>
      <c r="L205">
        <v>235067</v>
      </c>
      <c r="M205">
        <v>449</v>
      </c>
      <c r="N205">
        <v>5050</v>
      </c>
      <c r="O205">
        <v>5499</v>
      </c>
    </row>
    <row r="206" spans="1:15" hidden="1" x14ac:dyDescent="0.25">
      <c r="A206" s="1">
        <v>41239</v>
      </c>
      <c r="B206">
        <v>4</v>
      </c>
      <c r="C206">
        <v>1</v>
      </c>
      <c r="D206">
        <v>11</v>
      </c>
      <c r="E206">
        <v>0</v>
      </c>
      <c r="F206">
        <v>1</v>
      </c>
      <c r="G206">
        <v>1</v>
      </c>
      <c r="H206">
        <v>1</v>
      </c>
      <c r="I206">
        <v>313333</v>
      </c>
      <c r="J206">
        <v>339004</v>
      </c>
      <c r="K206">
        <v>535417</v>
      </c>
      <c r="L206">
        <v>4665</v>
      </c>
      <c r="M206">
        <v>337</v>
      </c>
      <c r="N206">
        <v>4750</v>
      </c>
      <c r="O206">
        <v>5087</v>
      </c>
    </row>
    <row r="207" spans="1:15" hidden="1" x14ac:dyDescent="0.25">
      <c r="A207" s="1">
        <v>41246</v>
      </c>
      <c r="B207">
        <v>4</v>
      </c>
      <c r="C207">
        <v>1</v>
      </c>
      <c r="D207">
        <v>12</v>
      </c>
      <c r="E207">
        <v>0</v>
      </c>
      <c r="F207">
        <v>1</v>
      </c>
      <c r="G207">
        <v>1</v>
      </c>
      <c r="H207">
        <v>1</v>
      </c>
      <c r="I207">
        <v>4525</v>
      </c>
      <c r="J207">
        <v>455796</v>
      </c>
      <c r="K207">
        <v>7675</v>
      </c>
      <c r="L207">
        <v>827208</v>
      </c>
      <c r="M207">
        <v>555</v>
      </c>
      <c r="N207">
        <v>5679</v>
      </c>
      <c r="O207">
        <v>6234</v>
      </c>
    </row>
    <row r="208" spans="1:15" hidden="1" x14ac:dyDescent="0.25">
      <c r="A208" s="1">
        <v>41253</v>
      </c>
      <c r="B208">
        <v>4</v>
      </c>
      <c r="C208">
        <v>1</v>
      </c>
      <c r="D208">
        <v>12</v>
      </c>
      <c r="E208">
        <v>0</v>
      </c>
      <c r="F208">
        <v>1</v>
      </c>
      <c r="G208">
        <v>1</v>
      </c>
      <c r="H208">
        <v>2</v>
      </c>
      <c r="I208">
        <v>435833</v>
      </c>
      <c r="J208">
        <v>435575</v>
      </c>
      <c r="K208">
        <v>925</v>
      </c>
      <c r="L208">
        <v>190308</v>
      </c>
      <c r="M208">
        <v>329</v>
      </c>
      <c r="N208">
        <v>4841</v>
      </c>
      <c r="O208">
        <v>5170</v>
      </c>
    </row>
    <row r="209" spans="1:15" hidden="1" x14ac:dyDescent="0.25">
      <c r="A209" s="1">
        <v>41260</v>
      </c>
      <c r="B209">
        <v>4</v>
      </c>
      <c r="C209">
        <v>1</v>
      </c>
      <c r="D209">
        <v>12</v>
      </c>
      <c r="E209">
        <v>0</v>
      </c>
      <c r="F209">
        <v>1</v>
      </c>
      <c r="G209">
        <v>1</v>
      </c>
      <c r="H209">
        <v>2</v>
      </c>
      <c r="I209">
        <v>393333</v>
      </c>
      <c r="J209">
        <v>4015</v>
      </c>
      <c r="K209">
        <v>907083</v>
      </c>
      <c r="L209">
        <v>982583</v>
      </c>
      <c r="M209">
        <v>212</v>
      </c>
      <c r="N209">
        <v>4373</v>
      </c>
      <c r="O209">
        <v>4585</v>
      </c>
    </row>
    <row r="210" spans="1:15" hidden="1" x14ac:dyDescent="0.25">
      <c r="A210" s="1">
        <v>41267</v>
      </c>
      <c r="B210">
        <v>1</v>
      </c>
      <c r="C210">
        <v>1</v>
      </c>
      <c r="D210">
        <v>12</v>
      </c>
      <c r="E210">
        <v>0</v>
      </c>
      <c r="F210">
        <v>1</v>
      </c>
      <c r="G210">
        <v>1</v>
      </c>
      <c r="H210">
        <v>2</v>
      </c>
      <c r="I210">
        <v>231304</v>
      </c>
      <c r="J210">
        <v>2589</v>
      </c>
      <c r="K210">
        <v>791304</v>
      </c>
      <c r="L210">
        <v>772304</v>
      </c>
      <c r="M210">
        <v>174</v>
      </c>
      <c r="N210">
        <v>746</v>
      </c>
      <c r="O210">
        <v>920</v>
      </c>
    </row>
    <row r="211" spans="1:15" hidden="1" x14ac:dyDescent="0.25">
      <c r="A211" s="1">
        <v>41274</v>
      </c>
      <c r="B211">
        <v>1</v>
      </c>
      <c r="C211">
        <v>1</v>
      </c>
      <c r="D211">
        <v>12</v>
      </c>
      <c r="E211">
        <v>0</v>
      </c>
      <c r="F211">
        <v>1</v>
      </c>
      <c r="G211">
        <v>1</v>
      </c>
      <c r="H211">
        <v>2</v>
      </c>
      <c r="I211">
        <v>215833</v>
      </c>
      <c r="J211">
        <v>223487</v>
      </c>
      <c r="K211">
        <v>5775</v>
      </c>
      <c r="L211">
        <v>154846</v>
      </c>
      <c r="M211">
        <v>439</v>
      </c>
      <c r="N211">
        <v>2290</v>
      </c>
      <c r="O211">
        <v>2729</v>
      </c>
    </row>
    <row r="212" spans="1:15" hidden="1" x14ac:dyDescent="0.25">
      <c r="A212" s="1">
        <v>40547</v>
      </c>
      <c r="B212">
        <v>1</v>
      </c>
      <c r="C212">
        <v>0</v>
      </c>
      <c r="D212">
        <v>1</v>
      </c>
      <c r="E212">
        <v>0</v>
      </c>
      <c r="F212">
        <v>2</v>
      </c>
      <c r="G212">
        <v>1</v>
      </c>
      <c r="H212">
        <v>1</v>
      </c>
      <c r="I212">
        <v>2</v>
      </c>
      <c r="J212">
        <v>212122</v>
      </c>
      <c r="K212">
        <v>590435</v>
      </c>
      <c r="L212">
        <v>160296</v>
      </c>
      <c r="M212">
        <v>108</v>
      </c>
      <c r="N212">
        <v>1454</v>
      </c>
      <c r="O212">
        <v>1562</v>
      </c>
    </row>
    <row r="213" spans="1:15" hidden="1" x14ac:dyDescent="0.25">
      <c r="A213" s="1">
        <v>40554</v>
      </c>
      <c r="B213">
        <v>1</v>
      </c>
      <c r="C213">
        <v>0</v>
      </c>
      <c r="D213">
        <v>1</v>
      </c>
      <c r="E213">
        <v>0</v>
      </c>
      <c r="F213">
        <v>2</v>
      </c>
      <c r="G213">
        <v>1</v>
      </c>
      <c r="H213">
        <v>2</v>
      </c>
      <c r="I213">
        <v>169091</v>
      </c>
      <c r="J213">
        <v>191464</v>
      </c>
      <c r="K213">
        <v>686364</v>
      </c>
      <c r="L213">
        <v>122132</v>
      </c>
      <c r="M213">
        <v>43</v>
      </c>
      <c r="N213">
        <v>1220</v>
      </c>
      <c r="O213">
        <v>1263</v>
      </c>
    </row>
    <row r="214" spans="1:15" hidden="1" x14ac:dyDescent="0.25">
      <c r="A214" s="1">
        <v>40561</v>
      </c>
      <c r="B214">
        <v>1</v>
      </c>
      <c r="C214">
        <v>0</v>
      </c>
      <c r="D214">
        <v>1</v>
      </c>
      <c r="E214">
        <v>0</v>
      </c>
      <c r="F214">
        <v>2</v>
      </c>
      <c r="G214">
        <v>1</v>
      </c>
      <c r="H214">
        <v>2</v>
      </c>
      <c r="I214">
        <v>216667</v>
      </c>
      <c r="J214">
        <v>232333</v>
      </c>
      <c r="K214">
        <v>861667</v>
      </c>
      <c r="L214">
        <v>146775</v>
      </c>
      <c r="M214">
        <v>9</v>
      </c>
      <c r="N214">
        <v>674</v>
      </c>
      <c r="O214">
        <v>683</v>
      </c>
    </row>
    <row r="215" spans="1:15" hidden="1" x14ac:dyDescent="0.25">
      <c r="A215" s="1">
        <v>40568</v>
      </c>
      <c r="B215">
        <v>1</v>
      </c>
      <c r="C215">
        <v>0</v>
      </c>
      <c r="D215">
        <v>1</v>
      </c>
      <c r="E215">
        <v>0</v>
      </c>
      <c r="F215">
        <v>2</v>
      </c>
      <c r="G215">
        <v>1</v>
      </c>
      <c r="H215">
        <v>2</v>
      </c>
      <c r="I215">
        <v>223478</v>
      </c>
      <c r="J215">
        <v>234526</v>
      </c>
      <c r="K215">
        <v>616957</v>
      </c>
      <c r="L215">
        <v>129796</v>
      </c>
      <c r="M215">
        <v>186</v>
      </c>
      <c r="N215">
        <v>1799</v>
      </c>
      <c r="O215">
        <v>1985</v>
      </c>
    </row>
    <row r="216" spans="1:15" hidden="1" x14ac:dyDescent="0.25">
      <c r="A216" s="1">
        <v>40575</v>
      </c>
      <c r="B216">
        <v>1</v>
      </c>
      <c r="C216">
        <v>0</v>
      </c>
      <c r="D216">
        <v>2</v>
      </c>
      <c r="E216">
        <v>0</v>
      </c>
      <c r="F216">
        <v>2</v>
      </c>
      <c r="G216">
        <v>1</v>
      </c>
      <c r="H216">
        <v>2</v>
      </c>
      <c r="I216">
        <v>192174</v>
      </c>
      <c r="J216">
        <v>23453</v>
      </c>
      <c r="K216">
        <v>829565</v>
      </c>
      <c r="L216">
        <v>53213</v>
      </c>
      <c r="M216">
        <v>47</v>
      </c>
      <c r="N216">
        <v>1313</v>
      </c>
      <c r="O216">
        <v>1360</v>
      </c>
    </row>
    <row r="217" spans="1:15" hidden="1" x14ac:dyDescent="0.25">
      <c r="A217" s="1">
        <v>40582</v>
      </c>
      <c r="B217">
        <v>1</v>
      </c>
      <c r="C217">
        <v>0</v>
      </c>
      <c r="D217">
        <v>2</v>
      </c>
      <c r="E217">
        <v>0</v>
      </c>
      <c r="F217">
        <v>2</v>
      </c>
      <c r="G217">
        <v>1</v>
      </c>
      <c r="H217">
        <v>1</v>
      </c>
      <c r="I217">
        <v>220833</v>
      </c>
      <c r="J217">
        <v>198246</v>
      </c>
      <c r="K217">
        <v>537917</v>
      </c>
      <c r="L217">
        <v>36195</v>
      </c>
      <c r="M217">
        <v>64</v>
      </c>
      <c r="N217">
        <v>1466</v>
      </c>
      <c r="O217">
        <v>1530</v>
      </c>
    </row>
    <row r="218" spans="1:15" hidden="1" x14ac:dyDescent="0.25">
      <c r="A218" s="1">
        <v>40589</v>
      </c>
      <c r="B218">
        <v>1</v>
      </c>
      <c r="C218">
        <v>0</v>
      </c>
      <c r="D218">
        <v>2</v>
      </c>
      <c r="E218">
        <v>0</v>
      </c>
      <c r="F218">
        <v>2</v>
      </c>
      <c r="G218">
        <v>1</v>
      </c>
      <c r="H218">
        <v>1</v>
      </c>
      <c r="I218">
        <v>266087</v>
      </c>
      <c r="J218">
        <v>254274</v>
      </c>
      <c r="K218">
        <v>314348</v>
      </c>
      <c r="L218">
        <v>291374</v>
      </c>
      <c r="M218">
        <v>140</v>
      </c>
      <c r="N218">
        <v>1675</v>
      </c>
      <c r="O218">
        <v>1815</v>
      </c>
    </row>
    <row r="219" spans="1:15" hidden="1" x14ac:dyDescent="0.25">
      <c r="A219" s="1">
        <v>40596</v>
      </c>
      <c r="B219">
        <v>1</v>
      </c>
      <c r="C219">
        <v>0</v>
      </c>
      <c r="D219">
        <v>2</v>
      </c>
      <c r="E219">
        <v>0</v>
      </c>
      <c r="F219">
        <v>2</v>
      </c>
      <c r="G219">
        <v>1</v>
      </c>
      <c r="H219">
        <v>1</v>
      </c>
      <c r="I219">
        <v>182222</v>
      </c>
      <c r="J219">
        <v>186033</v>
      </c>
      <c r="K219">
        <v>577778</v>
      </c>
      <c r="L219">
        <v>195683</v>
      </c>
      <c r="M219">
        <v>74</v>
      </c>
      <c r="N219">
        <v>1376</v>
      </c>
      <c r="O219">
        <v>1450</v>
      </c>
    </row>
    <row r="220" spans="1:15" hidden="1" x14ac:dyDescent="0.25">
      <c r="A220" s="1">
        <v>40603</v>
      </c>
      <c r="B220">
        <v>1</v>
      </c>
      <c r="C220">
        <v>0</v>
      </c>
      <c r="D220">
        <v>3</v>
      </c>
      <c r="E220">
        <v>0</v>
      </c>
      <c r="F220">
        <v>2</v>
      </c>
      <c r="G220">
        <v>1</v>
      </c>
      <c r="H220">
        <v>1</v>
      </c>
      <c r="I220">
        <v>266667</v>
      </c>
      <c r="J220">
        <v>263879</v>
      </c>
      <c r="K220">
        <v>535</v>
      </c>
      <c r="L220">
        <v>216425</v>
      </c>
      <c r="M220">
        <v>137</v>
      </c>
      <c r="N220">
        <v>1714</v>
      </c>
      <c r="O220">
        <v>1851</v>
      </c>
    </row>
    <row r="221" spans="1:15" hidden="1" x14ac:dyDescent="0.25">
      <c r="A221" s="1">
        <v>40610</v>
      </c>
      <c r="B221">
        <v>1</v>
      </c>
      <c r="C221">
        <v>0</v>
      </c>
      <c r="D221">
        <v>3</v>
      </c>
      <c r="E221">
        <v>0</v>
      </c>
      <c r="F221">
        <v>2</v>
      </c>
      <c r="G221">
        <v>1</v>
      </c>
      <c r="H221">
        <v>1</v>
      </c>
      <c r="I221">
        <v>2925</v>
      </c>
      <c r="J221">
        <v>3024</v>
      </c>
      <c r="K221">
        <v>420833</v>
      </c>
      <c r="L221">
        <v>12065</v>
      </c>
      <c r="M221">
        <v>316</v>
      </c>
      <c r="N221">
        <v>1817</v>
      </c>
      <c r="O221">
        <v>2133</v>
      </c>
    </row>
    <row r="222" spans="1:15" hidden="1" x14ac:dyDescent="0.25">
      <c r="A222" s="1">
        <v>40617</v>
      </c>
      <c r="B222">
        <v>1</v>
      </c>
      <c r="C222">
        <v>0</v>
      </c>
      <c r="D222">
        <v>3</v>
      </c>
      <c r="E222">
        <v>0</v>
      </c>
      <c r="F222">
        <v>2</v>
      </c>
      <c r="G222">
        <v>1</v>
      </c>
      <c r="H222">
        <v>2</v>
      </c>
      <c r="I222">
        <v>317391</v>
      </c>
      <c r="J222">
        <v>318178</v>
      </c>
      <c r="K222">
        <v>655652</v>
      </c>
      <c r="L222">
        <v>184309</v>
      </c>
      <c r="M222">
        <v>289</v>
      </c>
      <c r="N222">
        <v>1767</v>
      </c>
      <c r="O222">
        <v>2056</v>
      </c>
    </row>
    <row r="223" spans="1:15" hidden="1" x14ac:dyDescent="0.25">
      <c r="A223" s="1">
        <v>40624</v>
      </c>
      <c r="B223">
        <v>2</v>
      </c>
      <c r="C223">
        <v>0</v>
      </c>
      <c r="D223">
        <v>3</v>
      </c>
      <c r="E223">
        <v>0</v>
      </c>
      <c r="F223">
        <v>2</v>
      </c>
      <c r="G223">
        <v>1</v>
      </c>
      <c r="H223">
        <v>1</v>
      </c>
      <c r="I223">
        <v>441667</v>
      </c>
      <c r="J223">
        <v>440642</v>
      </c>
      <c r="K223">
        <v>624583</v>
      </c>
      <c r="L223">
        <v>22575</v>
      </c>
      <c r="M223">
        <v>460</v>
      </c>
      <c r="N223">
        <v>2243</v>
      </c>
      <c r="O223">
        <v>2703</v>
      </c>
    </row>
    <row r="224" spans="1:15" hidden="1" x14ac:dyDescent="0.25">
      <c r="A224" s="1">
        <v>40631</v>
      </c>
      <c r="B224">
        <v>2</v>
      </c>
      <c r="C224">
        <v>0</v>
      </c>
      <c r="D224">
        <v>3</v>
      </c>
      <c r="E224">
        <v>0</v>
      </c>
      <c r="F224">
        <v>2</v>
      </c>
      <c r="G224">
        <v>1</v>
      </c>
      <c r="H224">
        <v>1</v>
      </c>
      <c r="I224">
        <v>3025</v>
      </c>
      <c r="J224">
        <v>292908</v>
      </c>
      <c r="K224">
        <v>314167</v>
      </c>
      <c r="L224">
        <v>226996</v>
      </c>
      <c r="M224">
        <v>317</v>
      </c>
      <c r="N224">
        <v>2108</v>
      </c>
      <c r="O224">
        <v>2425</v>
      </c>
    </row>
    <row r="225" spans="1:15" hidden="1" x14ac:dyDescent="0.25">
      <c r="A225" s="1">
        <v>40638</v>
      </c>
      <c r="B225">
        <v>2</v>
      </c>
      <c r="C225">
        <v>0</v>
      </c>
      <c r="D225">
        <v>4</v>
      </c>
      <c r="E225">
        <v>0</v>
      </c>
      <c r="F225">
        <v>2</v>
      </c>
      <c r="G225">
        <v>1</v>
      </c>
      <c r="H225">
        <v>2</v>
      </c>
      <c r="I225">
        <v>414167</v>
      </c>
      <c r="J225">
        <v>39835</v>
      </c>
      <c r="K225">
        <v>642083</v>
      </c>
      <c r="L225">
        <v>388067</v>
      </c>
      <c r="M225">
        <v>167</v>
      </c>
      <c r="N225">
        <v>1628</v>
      </c>
      <c r="O225">
        <v>1795</v>
      </c>
    </row>
    <row r="226" spans="1:15" hidden="1" x14ac:dyDescent="0.25">
      <c r="A226" s="1">
        <v>40645</v>
      </c>
      <c r="B226">
        <v>2</v>
      </c>
      <c r="C226">
        <v>0</v>
      </c>
      <c r="D226">
        <v>4</v>
      </c>
      <c r="E226">
        <v>0</v>
      </c>
      <c r="F226">
        <v>2</v>
      </c>
      <c r="G226">
        <v>1</v>
      </c>
      <c r="H226">
        <v>2</v>
      </c>
      <c r="I226">
        <v>5025</v>
      </c>
      <c r="J226">
        <v>493054</v>
      </c>
      <c r="K226">
        <v>739167</v>
      </c>
      <c r="L226">
        <v>274879</v>
      </c>
      <c r="M226">
        <v>257</v>
      </c>
      <c r="N226">
        <v>1777</v>
      </c>
      <c r="O226">
        <v>2034</v>
      </c>
    </row>
    <row r="227" spans="1:15" hidden="1" x14ac:dyDescent="0.25">
      <c r="A227" s="1">
        <v>40652</v>
      </c>
      <c r="B227">
        <v>2</v>
      </c>
      <c r="C227">
        <v>0</v>
      </c>
      <c r="D227">
        <v>4</v>
      </c>
      <c r="E227">
        <v>0</v>
      </c>
      <c r="F227">
        <v>2</v>
      </c>
      <c r="G227">
        <v>1</v>
      </c>
      <c r="H227">
        <v>2</v>
      </c>
      <c r="I227">
        <v>505833</v>
      </c>
      <c r="J227">
        <v>489258</v>
      </c>
      <c r="K227">
        <v>665833</v>
      </c>
      <c r="L227">
        <v>157971</v>
      </c>
      <c r="M227">
        <v>409</v>
      </c>
      <c r="N227">
        <v>2795</v>
      </c>
      <c r="O227">
        <v>3204</v>
      </c>
    </row>
    <row r="228" spans="1:15" hidden="1" x14ac:dyDescent="0.25">
      <c r="A228" s="1">
        <v>40659</v>
      </c>
      <c r="B228">
        <v>2</v>
      </c>
      <c r="C228">
        <v>0</v>
      </c>
      <c r="D228">
        <v>4</v>
      </c>
      <c r="E228">
        <v>0</v>
      </c>
      <c r="F228">
        <v>2</v>
      </c>
      <c r="G228">
        <v>1</v>
      </c>
      <c r="H228">
        <v>1</v>
      </c>
      <c r="I228">
        <v>631667</v>
      </c>
      <c r="J228">
        <v>594083</v>
      </c>
      <c r="K228">
        <v>729167</v>
      </c>
      <c r="L228">
        <v>3265</v>
      </c>
      <c r="M228">
        <v>678</v>
      </c>
      <c r="N228">
        <v>3722</v>
      </c>
      <c r="O228">
        <v>4400</v>
      </c>
    </row>
    <row r="229" spans="1:15" hidden="1" x14ac:dyDescent="0.25">
      <c r="A229" s="1">
        <v>40666</v>
      </c>
      <c r="B229">
        <v>2</v>
      </c>
      <c r="C229">
        <v>0</v>
      </c>
      <c r="D229">
        <v>5</v>
      </c>
      <c r="E229">
        <v>0</v>
      </c>
      <c r="F229">
        <v>2</v>
      </c>
      <c r="G229">
        <v>1</v>
      </c>
      <c r="H229">
        <v>2</v>
      </c>
      <c r="I229">
        <v>616667</v>
      </c>
      <c r="J229">
        <v>582079</v>
      </c>
      <c r="K229">
        <v>697083</v>
      </c>
      <c r="L229">
        <v>342667</v>
      </c>
      <c r="M229">
        <v>603</v>
      </c>
      <c r="N229">
        <v>3848</v>
      </c>
      <c r="O229">
        <v>4451</v>
      </c>
    </row>
    <row r="230" spans="1:15" hidden="1" x14ac:dyDescent="0.25">
      <c r="A230" s="1">
        <v>40673</v>
      </c>
      <c r="B230">
        <v>2</v>
      </c>
      <c r="C230">
        <v>0</v>
      </c>
      <c r="D230">
        <v>5</v>
      </c>
      <c r="E230">
        <v>0</v>
      </c>
      <c r="F230">
        <v>2</v>
      </c>
      <c r="G230">
        <v>1</v>
      </c>
      <c r="H230">
        <v>1</v>
      </c>
      <c r="I230">
        <v>5325</v>
      </c>
      <c r="J230">
        <v>522721</v>
      </c>
      <c r="K230">
        <v>489167</v>
      </c>
      <c r="L230">
        <v>115671</v>
      </c>
      <c r="M230">
        <v>694</v>
      </c>
      <c r="N230">
        <v>4109</v>
      </c>
      <c r="O230">
        <v>4803</v>
      </c>
    </row>
    <row r="231" spans="1:15" hidden="1" x14ac:dyDescent="0.25">
      <c r="A231" s="1">
        <v>40680</v>
      </c>
      <c r="B231">
        <v>2</v>
      </c>
      <c r="C231">
        <v>0</v>
      </c>
      <c r="D231">
        <v>5</v>
      </c>
      <c r="E231">
        <v>0</v>
      </c>
      <c r="F231">
        <v>2</v>
      </c>
      <c r="G231">
        <v>1</v>
      </c>
      <c r="H231">
        <v>2</v>
      </c>
      <c r="I231">
        <v>561667</v>
      </c>
      <c r="J231">
        <v>538529</v>
      </c>
      <c r="K231">
        <v>837917</v>
      </c>
      <c r="L231">
        <v>277354</v>
      </c>
      <c r="M231">
        <v>678</v>
      </c>
      <c r="N231">
        <v>3445</v>
      </c>
      <c r="O231">
        <v>4123</v>
      </c>
    </row>
    <row r="232" spans="1:15" hidden="1" x14ac:dyDescent="0.25">
      <c r="A232" s="1">
        <v>40687</v>
      </c>
      <c r="B232">
        <v>2</v>
      </c>
      <c r="C232">
        <v>0</v>
      </c>
      <c r="D232">
        <v>5</v>
      </c>
      <c r="E232">
        <v>0</v>
      </c>
      <c r="F232">
        <v>2</v>
      </c>
      <c r="G232">
        <v>1</v>
      </c>
      <c r="H232">
        <v>2</v>
      </c>
      <c r="I232">
        <v>66</v>
      </c>
      <c r="J232">
        <v>604813</v>
      </c>
      <c r="K232">
        <v>740833</v>
      </c>
      <c r="L232">
        <v>207092</v>
      </c>
      <c r="M232">
        <v>659</v>
      </c>
      <c r="N232">
        <v>3833</v>
      </c>
      <c r="O232">
        <v>4492</v>
      </c>
    </row>
    <row r="233" spans="1:15" hidden="1" x14ac:dyDescent="0.25">
      <c r="A233" s="1">
        <v>40694</v>
      </c>
      <c r="B233">
        <v>2</v>
      </c>
      <c r="C233">
        <v>0</v>
      </c>
      <c r="D233">
        <v>5</v>
      </c>
      <c r="E233">
        <v>0</v>
      </c>
      <c r="F233">
        <v>2</v>
      </c>
      <c r="G233">
        <v>1</v>
      </c>
      <c r="H233">
        <v>1</v>
      </c>
      <c r="I233">
        <v>775</v>
      </c>
      <c r="J233">
        <v>725383</v>
      </c>
      <c r="K233">
        <v>636667</v>
      </c>
      <c r="L233">
        <v>111329</v>
      </c>
      <c r="M233">
        <v>673</v>
      </c>
      <c r="N233">
        <v>3309</v>
      </c>
      <c r="O233">
        <v>3982</v>
      </c>
    </row>
    <row r="234" spans="1:15" hidden="1" x14ac:dyDescent="0.25">
      <c r="A234" s="1">
        <v>40701</v>
      </c>
      <c r="B234">
        <v>2</v>
      </c>
      <c r="C234">
        <v>0</v>
      </c>
      <c r="D234">
        <v>6</v>
      </c>
      <c r="E234">
        <v>0</v>
      </c>
      <c r="F234">
        <v>2</v>
      </c>
      <c r="G234">
        <v>1</v>
      </c>
      <c r="H234">
        <v>1</v>
      </c>
      <c r="I234">
        <v>7075</v>
      </c>
      <c r="J234">
        <v>65595</v>
      </c>
      <c r="K234">
        <v>597917</v>
      </c>
      <c r="L234">
        <v>187808</v>
      </c>
      <c r="M234">
        <v>763</v>
      </c>
      <c r="N234">
        <v>4070</v>
      </c>
      <c r="O234">
        <v>4833</v>
      </c>
    </row>
    <row r="235" spans="1:15" hidden="1" x14ac:dyDescent="0.25">
      <c r="A235" s="1">
        <v>40708</v>
      </c>
      <c r="B235">
        <v>2</v>
      </c>
      <c r="C235">
        <v>0</v>
      </c>
      <c r="D235">
        <v>6</v>
      </c>
      <c r="E235">
        <v>0</v>
      </c>
      <c r="F235">
        <v>2</v>
      </c>
      <c r="G235">
        <v>1</v>
      </c>
      <c r="H235">
        <v>1</v>
      </c>
      <c r="I235">
        <v>604167</v>
      </c>
      <c r="J235">
        <v>591546</v>
      </c>
      <c r="K235">
        <v>507083</v>
      </c>
      <c r="L235">
        <v>269283</v>
      </c>
      <c r="M235">
        <v>727</v>
      </c>
      <c r="N235">
        <v>4164</v>
      </c>
      <c r="O235">
        <v>4891</v>
      </c>
    </row>
    <row r="236" spans="1:15" hidden="1" x14ac:dyDescent="0.25">
      <c r="A236" s="1">
        <v>40715</v>
      </c>
      <c r="B236">
        <v>3</v>
      </c>
      <c r="C236">
        <v>0</v>
      </c>
      <c r="D236">
        <v>6</v>
      </c>
      <c r="E236">
        <v>0</v>
      </c>
      <c r="F236">
        <v>2</v>
      </c>
      <c r="G236">
        <v>1</v>
      </c>
      <c r="H236">
        <v>2</v>
      </c>
      <c r="I236">
        <v>680833</v>
      </c>
      <c r="J236">
        <v>637646</v>
      </c>
      <c r="K236">
        <v>770417</v>
      </c>
      <c r="L236">
        <v>171025</v>
      </c>
      <c r="M236">
        <v>774</v>
      </c>
      <c r="N236">
        <v>4061</v>
      </c>
      <c r="O236">
        <v>4835</v>
      </c>
    </row>
    <row r="237" spans="1:15" hidden="1" x14ac:dyDescent="0.25">
      <c r="A237" s="1">
        <v>40722</v>
      </c>
      <c r="B237">
        <v>3</v>
      </c>
      <c r="C237">
        <v>0</v>
      </c>
      <c r="D237">
        <v>6</v>
      </c>
      <c r="E237">
        <v>0</v>
      </c>
      <c r="F237">
        <v>2</v>
      </c>
      <c r="G237">
        <v>1</v>
      </c>
      <c r="H237">
        <v>1</v>
      </c>
      <c r="I237">
        <v>744167</v>
      </c>
      <c r="J237">
        <v>692558</v>
      </c>
      <c r="K237">
        <v>634167</v>
      </c>
      <c r="L237">
        <v>144283</v>
      </c>
      <c r="M237">
        <v>732</v>
      </c>
      <c r="N237">
        <v>3916</v>
      </c>
      <c r="O237">
        <v>4648</v>
      </c>
    </row>
    <row r="238" spans="1:15" hidden="1" x14ac:dyDescent="0.25">
      <c r="A238" s="1">
        <v>40729</v>
      </c>
      <c r="B238">
        <v>3</v>
      </c>
      <c r="C238">
        <v>0</v>
      </c>
      <c r="D238">
        <v>7</v>
      </c>
      <c r="E238">
        <v>0</v>
      </c>
      <c r="F238">
        <v>2</v>
      </c>
      <c r="G238">
        <v>1</v>
      </c>
      <c r="H238">
        <v>1</v>
      </c>
      <c r="I238">
        <v>746667</v>
      </c>
      <c r="J238">
        <v>696338</v>
      </c>
      <c r="K238">
        <v>590417</v>
      </c>
      <c r="L238">
        <v>126258</v>
      </c>
      <c r="M238">
        <v>1031</v>
      </c>
      <c r="N238">
        <v>3634</v>
      </c>
      <c r="O238">
        <v>4665</v>
      </c>
    </row>
    <row r="239" spans="1:15" hidden="1" x14ac:dyDescent="0.25">
      <c r="A239" s="1">
        <v>40736</v>
      </c>
      <c r="B239">
        <v>3</v>
      </c>
      <c r="C239">
        <v>0</v>
      </c>
      <c r="D239">
        <v>7</v>
      </c>
      <c r="E239">
        <v>0</v>
      </c>
      <c r="F239">
        <v>2</v>
      </c>
      <c r="G239">
        <v>1</v>
      </c>
      <c r="H239">
        <v>1</v>
      </c>
      <c r="I239">
        <v>794167</v>
      </c>
      <c r="J239">
        <v>739275</v>
      </c>
      <c r="K239">
        <v>559167</v>
      </c>
      <c r="L239">
        <v>200254</v>
      </c>
      <c r="M239">
        <v>662</v>
      </c>
      <c r="N239">
        <v>3596</v>
      </c>
      <c r="O239">
        <v>4258</v>
      </c>
    </row>
    <row r="240" spans="1:15" hidden="1" x14ac:dyDescent="0.25">
      <c r="A240" s="1">
        <v>40743</v>
      </c>
      <c r="B240">
        <v>3</v>
      </c>
      <c r="C240">
        <v>0</v>
      </c>
      <c r="D240">
        <v>7</v>
      </c>
      <c r="E240">
        <v>0</v>
      </c>
      <c r="F240">
        <v>2</v>
      </c>
      <c r="G240">
        <v>1</v>
      </c>
      <c r="H240">
        <v>1</v>
      </c>
      <c r="I240">
        <v>776667</v>
      </c>
      <c r="J240">
        <v>747479</v>
      </c>
      <c r="K240">
        <v>650417</v>
      </c>
      <c r="L240">
        <v>1306</v>
      </c>
      <c r="M240">
        <v>752</v>
      </c>
      <c r="N240">
        <v>3789</v>
      </c>
      <c r="O240">
        <v>4541</v>
      </c>
    </row>
    <row r="241" spans="1:15" hidden="1" x14ac:dyDescent="0.25">
      <c r="A241" s="1">
        <v>40750</v>
      </c>
      <c r="B241">
        <v>3</v>
      </c>
      <c r="C241">
        <v>0</v>
      </c>
      <c r="D241">
        <v>7</v>
      </c>
      <c r="E241">
        <v>0</v>
      </c>
      <c r="F241">
        <v>2</v>
      </c>
      <c r="G241">
        <v>1</v>
      </c>
      <c r="H241">
        <v>1</v>
      </c>
      <c r="I241">
        <v>771667</v>
      </c>
      <c r="J241">
        <v>696979</v>
      </c>
      <c r="K241">
        <v>540833</v>
      </c>
      <c r="L241">
        <v>200258</v>
      </c>
      <c r="M241">
        <v>750</v>
      </c>
      <c r="N241">
        <v>3840</v>
      </c>
      <c r="O241">
        <v>4590</v>
      </c>
    </row>
    <row r="242" spans="1:15" hidden="1" x14ac:dyDescent="0.25">
      <c r="A242" s="1">
        <v>40757</v>
      </c>
      <c r="B242">
        <v>3</v>
      </c>
      <c r="C242">
        <v>0</v>
      </c>
      <c r="D242">
        <v>8</v>
      </c>
      <c r="E242">
        <v>0</v>
      </c>
      <c r="F242">
        <v>2</v>
      </c>
      <c r="G242">
        <v>1</v>
      </c>
      <c r="H242">
        <v>1</v>
      </c>
      <c r="I242">
        <v>783333</v>
      </c>
      <c r="J242">
        <v>707071</v>
      </c>
      <c r="K242">
        <v>49125</v>
      </c>
      <c r="L242">
        <v>20585</v>
      </c>
      <c r="M242">
        <v>801</v>
      </c>
      <c r="N242">
        <v>4044</v>
      </c>
      <c r="O242">
        <v>4845</v>
      </c>
    </row>
    <row r="243" spans="1:15" hidden="1" x14ac:dyDescent="0.25">
      <c r="A243" s="1">
        <v>40764</v>
      </c>
      <c r="B243">
        <v>3</v>
      </c>
      <c r="C243">
        <v>0</v>
      </c>
      <c r="D243">
        <v>8</v>
      </c>
      <c r="E243">
        <v>0</v>
      </c>
      <c r="F243">
        <v>2</v>
      </c>
      <c r="G243">
        <v>1</v>
      </c>
      <c r="H243">
        <v>1</v>
      </c>
      <c r="I243">
        <v>775</v>
      </c>
      <c r="J243">
        <v>724121</v>
      </c>
      <c r="K243">
        <v>570417</v>
      </c>
      <c r="L243">
        <v>151121</v>
      </c>
      <c r="M243">
        <v>907</v>
      </c>
      <c r="N243">
        <v>3695</v>
      </c>
      <c r="O243">
        <v>4602</v>
      </c>
    </row>
    <row r="244" spans="1:15" hidden="1" x14ac:dyDescent="0.25">
      <c r="A244" s="1">
        <v>40771</v>
      </c>
      <c r="B244">
        <v>3</v>
      </c>
      <c r="C244">
        <v>0</v>
      </c>
      <c r="D244">
        <v>8</v>
      </c>
      <c r="E244">
        <v>0</v>
      </c>
      <c r="F244">
        <v>2</v>
      </c>
      <c r="G244">
        <v>1</v>
      </c>
      <c r="H244">
        <v>1</v>
      </c>
      <c r="I244">
        <v>700833</v>
      </c>
      <c r="J244">
        <v>645837</v>
      </c>
      <c r="K244">
        <v>578333</v>
      </c>
      <c r="L244">
        <v>236329</v>
      </c>
      <c r="M244">
        <v>721</v>
      </c>
      <c r="N244">
        <v>4004</v>
      </c>
      <c r="O244">
        <v>4725</v>
      </c>
    </row>
    <row r="245" spans="1:15" hidden="1" x14ac:dyDescent="0.25">
      <c r="A245" s="1">
        <v>40778</v>
      </c>
      <c r="B245">
        <v>3</v>
      </c>
      <c r="C245">
        <v>0</v>
      </c>
      <c r="D245">
        <v>8</v>
      </c>
      <c r="E245">
        <v>0</v>
      </c>
      <c r="F245">
        <v>2</v>
      </c>
      <c r="G245">
        <v>1</v>
      </c>
      <c r="H245">
        <v>1</v>
      </c>
      <c r="I245">
        <v>640833</v>
      </c>
      <c r="J245">
        <v>606067</v>
      </c>
      <c r="K245">
        <v>455417</v>
      </c>
      <c r="L245">
        <v>146763</v>
      </c>
      <c r="M245">
        <v>1281</v>
      </c>
      <c r="N245">
        <v>4614</v>
      </c>
      <c r="O245">
        <v>5895</v>
      </c>
    </row>
    <row r="246" spans="1:15" hidden="1" x14ac:dyDescent="0.25">
      <c r="A246" s="1">
        <v>40785</v>
      </c>
      <c r="B246">
        <v>3</v>
      </c>
      <c r="C246">
        <v>0</v>
      </c>
      <c r="D246">
        <v>8</v>
      </c>
      <c r="E246">
        <v>0</v>
      </c>
      <c r="F246">
        <v>2</v>
      </c>
      <c r="G246">
        <v>1</v>
      </c>
      <c r="H246">
        <v>1</v>
      </c>
      <c r="I246">
        <v>639167</v>
      </c>
      <c r="J246">
        <v>594704</v>
      </c>
      <c r="K246">
        <v>548333</v>
      </c>
      <c r="L246">
        <v>125008</v>
      </c>
      <c r="M246">
        <v>775</v>
      </c>
      <c r="N246">
        <v>4429</v>
      </c>
      <c r="O246">
        <v>5204</v>
      </c>
    </row>
    <row r="247" spans="1:15" hidden="1" x14ac:dyDescent="0.25">
      <c r="A247" s="1">
        <v>40792</v>
      </c>
      <c r="B247">
        <v>3</v>
      </c>
      <c r="C247">
        <v>0</v>
      </c>
      <c r="D247">
        <v>9</v>
      </c>
      <c r="E247">
        <v>0</v>
      </c>
      <c r="F247">
        <v>2</v>
      </c>
      <c r="G247">
        <v>1</v>
      </c>
      <c r="H247">
        <v>3</v>
      </c>
      <c r="I247">
        <v>54</v>
      </c>
      <c r="J247">
        <v>5152</v>
      </c>
      <c r="K247">
        <v>886957</v>
      </c>
      <c r="L247">
        <v>343943</v>
      </c>
      <c r="M247">
        <v>204</v>
      </c>
      <c r="N247">
        <v>2506</v>
      </c>
      <c r="O247">
        <v>2710</v>
      </c>
    </row>
    <row r="248" spans="1:15" hidden="1" x14ac:dyDescent="0.25">
      <c r="A248" s="1">
        <v>40799</v>
      </c>
      <c r="B248">
        <v>3</v>
      </c>
      <c r="C248">
        <v>0</v>
      </c>
      <c r="D248">
        <v>9</v>
      </c>
      <c r="E248">
        <v>0</v>
      </c>
      <c r="F248">
        <v>2</v>
      </c>
      <c r="G248">
        <v>1</v>
      </c>
      <c r="H248">
        <v>1</v>
      </c>
      <c r="I248">
        <v>650833</v>
      </c>
      <c r="J248">
        <v>603554</v>
      </c>
      <c r="K248">
        <v>7125</v>
      </c>
      <c r="L248">
        <v>141804</v>
      </c>
      <c r="M248">
        <v>701</v>
      </c>
      <c r="N248">
        <v>4062</v>
      </c>
      <c r="O248">
        <v>4763</v>
      </c>
    </row>
    <row r="249" spans="1:15" hidden="1" x14ac:dyDescent="0.25">
      <c r="A249" s="1">
        <v>40806</v>
      </c>
      <c r="B249">
        <v>3</v>
      </c>
      <c r="C249">
        <v>0</v>
      </c>
      <c r="D249">
        <v>9</v>
      </c>
      <c r="E249">
        <v>0</v>
      </c>
      <c r="F249">
        <v>2</v>
      </c>
      <c r="G249">
        <v>1</v>
      </c>
      <c r="H249">
        <v>2</v>
      </c>
      <c r="I249">
        <v>561667</v>
      </c>
      <c r="J249">
        <v>532217</v>
      </c>
      <c r="K249">
        <v>88125</v>
      </c>
      <c r="L249">
        <v>134954</v>
      </c>
      <c r="M249">
        <v>438</v>
      </c>
      <c r="N249">
        <v>3203</v>
      </c>
      <c r="O249">
        <v>3641</v>
      </c>
    </row>
    <row r="250" spans="1:15" hidden="1" x14ac:dyDescent="0.25">
      <c r="A250" s="1">
        <v>40813</v>
      </c>
      <c r="B250">
        <v>4</v>
      </c>
      <c r="C250">
        <v>0</v>
      </c>
      <c r="D250">
        <v>9</v>
      </c>
      <c r="E250">
        <v>0</v>
      </c>
      <c r="F250">
        <v>2</v>
      </c>
      <c r="G250">
        <v>1</v>
      </c>
      <c r="H250">
        <v>2</v>
      </c>
      <c r="I250">
        <v>636667</v>
      </c>
      <c r="J250">
        <v>574525</v>
      </c>
      <c r="K250">
        <v>885417</v>
      </c>
      <c r="L250">
        <v>118171</v>
      </c>
      <c r="M250">
        <v>477</v>
      </c>
      <c r="N250">
        <v>3643</v>
      </c>
      <c r="O250">
        <v>4120</v>
      </c>
    </row>
    <row r="251" spans="1:15" hidden="1" x14ac:dyDescent="0.25">
      <c r="A251" s="1">
        <v>40820</v>
      </c>
      <c r="B251">
        <v>4</v>
      </c>
      <c r="C251">
        <v>0</v>
      </c>
      <c r="D251">
        <v>10</v>
      </c>
      <c r="E251">
        <v>0</v>
      </c>
      <c r="F251">
        <v>2</v>
      </c>
      <c r="G251">
        <v>1</v>
      </c>
      <c r="H251">
        <v>1</v>
      </c>
      <c r="I251">
        <v>484167</v>
      </c>
      <c r="J251">
        <v>472858</v>
      </c>
      <c r="K251">
        <v>71</v>
      </c>
      <c r="L251">
        <v>205854</v>
      </c>
      <c r="M251">
        <v>486</v>
      </c>
      <c r="N251">
        <v>3970</v>
      </c>
      <c r="O251">
        <v>4456</v>
      </c>
    </row>
    <row r="252" spans="1:15" hidden="1" x14ac:dyDescent="0.25">
      <c r="A252" s="1">
        <v>40827</v>
      </c>
      <c r="B252">
        <v>4</v>
      </c>
      <c r="C252">
        <v>0</v>
      </c>
      <c r="D252">
        <v>10</v>
      </c>
      <c r="E252">
        <v>0</v>
      </c>
      <c r="F252">
        <v>2</v>
      </c>
      <c r="G252">
        <v>1</v>
      </c>
      <c r="H252">
        <v>2</v>
      </c>
      <c r="I252">
        <v>566667</v>
      </c>
      <c r="J252">
        <v>546096</v>
      </c>
      <c r="K252">
        <v>80875</v>
      </c>
      <c r="L252">
        <v>143042</v>
      </c>
      <c r="M252">
        <v>667</v>
      </c>
      <c r="N252">
        <v>3896</v>
      </c>
      <c r="O252">
        <v>4563</v>
      </c>
    </row>
    <row r="253" spans="1:15" hidden="1" x14ac:dyDescent="0.25">
      <c r="A253" s="1">
        <v>40834</v>
      </c>
      <c r="B253">
        <v>4</v>
      </c>
      <c r="C253">
        <v>0</v>
      </c>
      <c r="D253">
        <v>10</v>
      </c>
      <c r="E253">
        <v>0</v>
      </c>
      <c r="F253">
        <v>2</v>
      </c>
      <c r="G253">
        <v>1</v>
      </c>
      <c r="H253">
        <v>2</v>
      </c>
      <c r="I253">
        <v>5325</v>
      </c>
      <c r="J253">
        <v>522721</v>
      </c>
      <c r="K253">
        <v>701667</v>
      </c>
      <c r="L253">
        <v>110087</v>
      </c>
      <c r="M253">
        <v>637</v>
      </c>
      <c r="N253">
        <v>4111</v>
      </c>
      <c r="O253">
        <v>4748</v>
      </c>
    </row>
    <row r="254" spans="1:15" hidden="1" x14ac:dyDescent="0.25">
      <c r="A254" s="1">
        <v>40841</v>
      </c>
      <c r="B254">
        <v>4</v>
      </c>
      <c r="C254">
        <v>0</v>
      </c>
      <c r="D254">
        <v>10</v>
      </c>
      <c r="E254">
        <v>0</v>
      </c>
      <c r="F254">
        <v>2</v>
      </c>
      <c r="G254">
        <v>1</v>
      </c>
      <c r="H254">
        <v>1</v>
      </c>
      <c r="I254">
        <v>471667</v>
      </c>
      <c r="J254">
        <v>463375</v>
      </c>
      <c r="K254">
        <v>622917</v>
      </c>
      <c r="L254">
        <v>166658</v>
      </c>
      <c r="M254">
        <v>695</v>
      </c>
      <c r="N254">
        <v>3992</v>
      </c>
      <c r="O254">
        <v>4687</v>
      </c>
    </row>
    <row r="255" spans="1:15" hidden="1" x14ac:dyDescent="0.25">
      <c r="A255" s="1">
        <v>40848</v>
      </c>
      <c r="B255">
        <v>4</v>
      </c>
      <c r="C255">
        <v>0</v>
      </c>
      <c r="D255">
        <v>11</v>
      </c>
      <c r="E255">
        <v>0</v>
      </c>
      <c r="F255">
        <v>2</v>
      </c>
      <c r="G255">
        <v>1</v>
      </c>
      <c r="H255">
        <v>1</v>
      </c>
      <c r="I255">
        <v>400833</v>
      </c>
      <c r="J255">
        <v>397088</v>
      </c>
      <c r="K255">
        <v>68375</v>
      </c>
      <c r="L255">
        <v>135571</v>
      </c>
      <c r="M255">
        <v>410</v>
      </c>
      <c r="N255">
        <v>3658</v>
      </c>
      <c r="O255">
        <v>4068</v>
      </c>
    </row>
    <row r="256" spans="1:15" hidden="1" x14ac:dyDescent="0.25">
      <c r="A256" s="1">
        <v>40855</v>
      </c>
      <c r="B256">
        <v>4</v>
      </c>
      <c r="C256">
        <v>0</v>
      </c>
      <c r="D256">
        <v>11</v>
      </c>
      <c r="E256">
        <v>0</v>
      </c>
      <c r="F256">
        <v>2</v>
      </c>
      <c r="G256">
        <v>1</v>
      </c>
      <c r="H256">
        <v>1</v>
      </c>
      <c r="I256">
        <v>408333</v>
      </c>
      <c r="J256">
        <v>412246</v>
      </c>
      <c r="K256">
        <v>721667</v>
      </c>
      <c r="L256">
        <v>690375</v>
      </c>
      <c r="M256">
        <v>376</v>
      </c>
      <c r="N256">
        <v>3829</v>
      </c>
      <c r="O256">
        <v>4205</v>
      </c>
    </row>
    <row r="257" spans="1:15" hidden="1" x14ac:dyDescent="0.25">
      <c r="A257" s="1">
        <v>40862</v>
      </c>
      <c r="B257">
        <v>4</v>
      </c>
      <c r="C257">
        <v>0</v>
      </c>
      <c r="D257">
        <v>11</v>
      </c>
      <c r="E257">
        <v>0</v>
      </c>
      <c r="F257">
        <v>2</v>
      </c>
      <c r="G257">
        <v>1</v>
      </c>
      <c r="H257">
        <v>2</v>
      </c>
      <c r="I257">
        <v>53</v>
      </c>
      <c r="J257">
        <v>507579</v>
      </c>
      <c r="K257">
        <v>68875</v>
      </c>
      <c r="L257">
        <v>199633</v>
      </c>
      <c r="M257">
        <v>449</v>
      </c>
      <c r="N257">
        <v>3746</v>
      </c>
      <c r="O257">
        <v>4195</v>
      </c>
    </row>
    <row r="258" spans="1:15" hidden="1" x14ac:dyDescent="0.25">
      <c r="A258" s="1">
        <v>40869</v>
      </c>
      <c r="B258">
        <v>4</v>
      </c>
      <c r="C258">
        <v>0</v>
      </c>
      <c r="D258">
        <v>11</v>
      </c>
      <c r="E258">
        <v>0</v>
      </c>
      <c r="F258">
        <v>2</v>
      </c>
      <c r="G258">
        <v>1</v>
      </c>
      <c r="H258">
        <v>3</v>
      </c>
      <c r="I258">
        <v>416667</v>
      </c>
      <c r="J258">
        <v>421696</v>
      </c>
      <c r="K258">
        <v>9625</v>
      </c>
      <c r="L258">
        <v>118792</v>
      </c>
      <c r="M258">
        <v>69</v>
      </c>
      <c r="N258">
        <v>1538</v>
      </c>
      <c r="O258">
        <v>1607</v>
      </c>
    </row>
    <row r="259" spans="1:15" hidden="1" x14ac:dyDescent="0.25">
      <c r="A259" s="1">
        <v>40876</v>
      </c>
      <c r="B259">
        <v>4</v>
      </c>
      <c r="C259">
        <v>0</v>
      </c>
      <c r="D259">
        <v>11</v>
      </c>
      <c r="E259">
        <v>0</v>
      </c>
      <c r="F259">
        <v>2</v>
      </c>
      <c r="G259">
        <v>1</v>
      </c>
      <c r="H259">
        <v>2</v>
      </c>
      <c r="I259">
        <v>458333</v>
      </c>
      <c r="J259">
        <v>451375</v>
      </c>
      <c r="K259">
        <v>830833</v>
      </c>
      <c r="L259">
        <v>258092</v>
      </c>
      <c r="M259">
        <v>96</v>
      </c>
      <c r="N259">
        <v>2818</v>
      </c>
      <c r="O259">
        <v>2914</v>
      </c>
    </row>
    <row r="260" spans="1:15" hidden="1" x14ac:dyDescent="0.25">
      <c r="A260" s="1">
        <v>40883</v>
      </c>
      <c r="B260">
        <v>4</v>
      </c>
      <c r="C260">
        <v>0</v>
      </c>
      <c r="D260">
        <v>12</v>
      </c>
      <c r="E260">
        <v>0</v>
      </c>
      <c r="F260">
        <v>2</v>
      </c>
      <c r="G260">
        <v>1</v>
      </c>
      <c r="H260">
        <v>3</v>
      </c>
      <c r="I260">
        <v>4625</v>
      </c>
      <c r="J260">
        <v>4564</v>
      </c>
      <c r="K260">
        <v>949583</v>
      </c>
      <c r="L260">
        <v>232583</v>
      </c>
      <c r="M260">
        <v>126</v>
      </c>
      <c r="N260">
        <v>2468</v>
      </c>
      <c r="O260">
        <v>2594</v>
      </c>
    </row>
    <row r="261" spans="1:15" hidden="1" x14ac:dyDescent="0.25">
      <c r="A261" s="1">
        <v>40890</v>
      </c>
      <c r="B261">
        <v>4</v>
      </c>
      <c r="C261">
        <v>0</v>
      </c>
      <c r="D261">
        <v>12</v>
      </c>
      <c r="E261">
        <v>0</v>
      </c>
      <c r="F261">
        <v>2</v>
      </c>
      <c r="G261">
        <v>1</v>
      </c>
      <c r="H261">
        <v>1</v>
      </c>
      <c r="I261">
        <v>2825</v>
      </c>
      <c r="J261">
        <v>301138</v>
      </c>
      <c r="K261">
        <v>59</v>
      </c>
      <c r="L261">
        <v>14055</v>
      </c>
      <c r="M261">
        <v>155</v>
      </c>
      <c r="N261">
        <v>3368</v>
      </c>
      <c r="O261">
        <v>3523</v>
      </c>
    </row>
    <row r="262" spans="1:15" hidden="1" x14ac:dyDescent="0.25">
      <c r="A262" s="1">
        <v>40897</v>
      </c>
      <c r="B262">
        <v>4</v>
      </c>
      <c r="C262">
        <v>0</v>
      </c>
      <c r="D262">
        <v>12</v>
      </c>
      <c r="E262">
        <v>0</v>
      </c>
      <c r="F262">
        <v>2</v>
      </c>
      <c r="G262">
        <v>1</v>
      </c>
      <c r="H262">
        <v>2</v>
      </c>
      <c r="I262">
        <v>385833</v>
      </c>
      <c r="J262">
        <v>396454</v>
      </c>
      <c r="K262">
        <v>595417</v>
      </c>
      <c r="L262">
        <v>615708</v>
      </c>
      <c r="M262">
        <v>216</v>
      </c>
      <c r="N262">
        <v>3534</v>
      </c>
      <c r="O262">
        <v>3750</v>
      </c>
    </row>
    <row r="263" spans="1:15" hidden="1" x14ac:dyDescent="0.25">
      <c r="A263" s="1">
        <v>40904</v>
      </c>
      <c r="B263">
        <v>1</v>
      </c>
      <c r="C263">
        <v>0</v>
      </c>
      <c r="D263">
        <v>12</v>
      </c>
      <c r="E263">
        <v>0</v>
      </c>
      <c r="F263">
        <v>2</v>
      </c>
      <c r="G263">
        <v>1</v>
      </c>
      <c r="H263">
        <v>2</v>
      </c>
      <c r="I263">
        <v>325</v>
      </c>
      <c r="J263">
        <v>327633</v>
      </c>
      <c r="K263">
        <v>7625</v>
      </c>
      <c r="L263">
        <v>18845</v>
      </c>
      <c r="M263">
        <v>103</v>
      </c>
      <c r="N263">
        <v>1059</v>
      </c>
      <c r="O263">
        <v>1162</v>
      </c>
    </row>
    <row r="264" spans="1:15" hidden="1" x14ac:dyDescent="0.25">
      <c r="A264" s="1">
        <v>40911</v>
      </c>
      <c r="B264">
        <v>1</v>
      </c>
      <c r="C264">
        <v>1</v>
      </c>
      <c r="D264">
        <v>1</v>
      </c>
      <c r="E264">
        <v>0</v>
      </c>
      <c r="F264">
        <v>2</v>
      </c>
      <c r="G264">
        <v>1</v>
      </c>
      <c r="H264">
        <v>1</v>
      </c>
      <c r="I264">
        <v>15</v>
      </c>
      <c r="J264">
        <v>126275</v>
      </c>
      <c r="K264">
        <v>44125</v>
      </c>
      <c r="L264">
        <v>365671</v>
      </c>
      <c r="M264">
        <v>89</v>
      </c>
      <c r="N264">
        <v>2147</v>
      </c>
      <c r="O264">
        <v>2236</v>
      </c>
    </row>
    <row r="265" spans="1:15" hidden="1" x14ac:dyDescent="0.25">
      <c r="A265" s="1">
        <v>40918</v>
      </c>
      <c r="B265">
        <v>1</v>
      </c>
      <c r="C265">
        <v>1</v>
      </c>
      <c r="D265">
        <v>1</v>
      </c>
      <c r="E265">
        <v>0</v>
      </c>
      <c r="F265">
        <v>2</v>
      </c>
      <c r="G265">
        <v>1</v>
      </c>
      <c r="H265">
        <v>1</v>
      </c>
      <c r="I265">
        <v>308696</v>
      </c>
      <c r="J265">
        <v>318826</v>
      </c>
      <c r="K265">
        <v>646522</v>
      </c>
      <c r="L265">
        <v>187552</v>
      </c>
      <c r="M265">
        <v>173</v>
      </c>
      <c r="N265">
        <v>3425</v>
      </c>
      <c r="O265">
        <v>3598</v>
      </c>
    </row>
    <row r="266" spans="1:15" hidden="1" x14ac:dyDescent="0.25">
      <c r="A266" s="1">
        <v>40925</v>
      </c>
      <c r="B266">
        <v>1</v>
      </c>
      <c r="C266">
        <v>1</v>
      </c>
      <c r="D266">
        <v>1</v>
      </c>
      <c r="E266">
        <v>0</v>
      </c>
      <c r="F266">
        <v>2</v>
      </c>
      <c r="G266">
        <v>1</v>
      </c>
      <c r="H266">
        <v>2</v>
      </c>
      <c r="I266">
        <v>373043</v>
      </c>
      <c r="J266">
        <v>364278</v>
      </c>
      <c r="K266">
        <v>716087</v>
      </c>
      <c r="L266">
        <v>34913</v>
      </c>
      <c r="M266">
        <v>127</v>
      </c>
      <c r="N266">
        <v>2808</v>
      </c>
      <c r="O266">
        <v>2935</v>
      </c>
    </row>
    <row r="267" spans="1:15" hidden="1" x14ac:dyDescent="0.25">
      <c r="A267" s="1">
        <v>40932</v>
      </c>
      <c r="B267">
        <v>1</v>
      </c>
      <c r="C267">
        <v>1</v>
      </c>
      <c r="D267">
        <v>1</v>
      </c>
      <c r="E267">
        <v>0</v>
      </c>
      <c r="F267">
        <v>2</v>
      </c>
      <c r="G267">
        <v>1</v>
      </c>
      <c r="H267">
        <v>1</v>
      </c>
      <c r="I267">
        <v>3425</v>
      </c>
      <c r="J267">
        <v>349108</v>
      </c>
      <c r="K267">
        <v>835833</v>
      </c>
      <c r="L267">
        <v>123767</v>
      </c>
      <c r="M267">
        <v>439</v>
      </c>
      <c r="N267">
        <v>3900</v>
      </c>
      <c r="O267">
        <v>4339</v>
      </c>
    </row>
    <row r="268" spans="1:15" hidden="1" x14ac:dyDescent="0.25">
      <c r="A268" s="1">
        <v>40939</v>
      </c>
      <c r="B268">
        <v>1</v>
      </c>
      <c r="C268">
        <v>1</v>
      </c>
      <c r="D268">
        <v>1</v>
      </c>
      <c r="E268">
        <v>0</v>
      </c>
      <c r="F268">
        <v>2</v>
      </c>
      <c r="G268">
        <v>1</v>
      </c>
      <c r="H268">
        <v>1</v>
      </c>
      <c r="I268">
        <v>39</v>
      </c>
      <c r="J268">
        <v>381317</v>
      </c>
      <c r="K268">
        <v>416667</v>
      </c>
      <c r="L268">
        <v>261817</v>
      </c>
      <c r="M268">
        <v>324</v>
      </c>
      <c r="N268">
        <v>4185</v>
      </c>
      <c r="O268">
        <v>4509</v>
      </c>
    </row>
    <row r="269" spans="1:15" hidden="1" x14ac:dyDescent="0.25">
      <c r="A269" s="1">
        <v>40946</v>
      </c>
      <c r="B269">
        <v>1</v>
      </c>
      <c r="C269">
        <v>1</v>
      </c>
      <c r="D269">
        <v>2</v>
      </c>
      <c r="E269">
        <v>0</v>
      </c>
      <c r="F269">
        <v>2</v>
      </c>
      <c r="G269">
        <v>1</v>
      </c>
      <c r="H269">
        <v>1</v>
      </c>
      <c r="I269">
        <v>354167</v>
      </c>
      <c r="J269">
        <v>361104</v>
      </c>
      <c r="K269">
        <v>49625</v>
      </c>
      <c r="L269">
        <v>147379</v>
      </c>
      <c r="M269">
        <v>199</v>
      </c>
      <c r="N269">
        <v>4176</v>
      </c>
      <c r="O269">
        <v>4375</v>
      </c>
    </row>
    <row r="270" spans="1:15" hidden="1" x14ac:dyDescent="0.25">
      <c r="A270" s="1">
        <v>40953</v>
      </c>
      <c r="B270">
        <v>1</v>
      </c>
      <c r="C270">
        <v>1</v>
      </c>
      <c r="D270">
        <v>2</v>
      </c>
      <c r="E270">
        <v>0</v>
      </c>
      <c r="F270">
        <v>2</v>
      </c>
      <c r="G270">
        <v>1</v>
      </c>
      <c r="H270">
        <v>2</v>
      </c>
      <c r="I270">
        <v>319167</v>
      </c>
      <c r="J270">
        <v>333946</v>
      </c>
      <c r="K270">
        <v>50875</v>
      </c>
      <c r="L270">
        <v>141179</v>
      </c>
      <c r="M270">
        <v>135</v>
      </c>
      <c r="N270">
        <v>3787</v>
      </c>
      <c r="O270">
        <v>3922</v>
      </c>
    </row>
    <row r="271" spans="1:15" hidden="1" x14ac:dyDescent="0.25">
      <c r="A271" s="1">
        <v>40960</v>
      </c>
      <c r="B271">
        <v>1</v>
      </c>
      <c r="C271">
        <v>1</v>
      </c>
      <c r="D271">
        <v>2</v>
      </c>
      <c r="E271">
        <v>0</v>
      </c>
      <c r="F271">
        <v>2</v>
      </c>
      <c r="G271">
        <v>1</v>
      </c>
      <c r="H271">
        <v>1</v>
      </c>
      <c r="I271">
        <v>287826</v>
      </c>
      <c r="J271">
        <v>295113</v>
      </c>
      <c r="K271">
        <v>594348</v>
      </c>
      <c r="L271">
        <v>205717</v>
      </c>
      <c r="M271">
        <v>163</v>
      </c>
      <c r="N271">
        <v>3614</v>
      </c>
      <c r="O271">
        <v>3777</v>
      </c>
    </row>
    <row r="272" spans="1:15" hidden="1" x14ac:dyDescent="0.25">
      <c r="A272" s="1">
        <v>40967</v>
      </c>
      <c r="B272">
        <v>1</v>
      </c>
      <c r="C272">
        <v>1</v>
      </c>
      <c r="D272">
        <v>2</v>
      </c>
      <c r="E272">
        <v>0</v>
      </c>
      <c r="F272">
        <v>2</v>
      </c>
      <c r="G272">
        <v>1</v>
      </c>
      <c r="H272">
        <v>1</v>
      </c>
      <c r="I272">
        <v>359167</v>
      </c>
      <c r="J272">
        <v>353525</v>
      </c>
      <c r="K272">
        <v>395833</v>
      </c>
      <c r="L272">
        <v>193417</v>
      </c>
      <c r="M272">
        <v>229</v>
      </c>
      <c r="N272">
        <v>4134</v>
      </c>
      <c r="O272">
        <v>4363</v>
      </c>
    </row>
    <row r="273" spans="1:15" hidden="1" x14ac:dyDescent="0.25">
      <c r="A273" s="1">
        <v>40974</v>
      </c>
      <c r="B273">
        <v>1</v>
      </c>
      <c r="C273">
        <v>1</v>
      </c>
      <c r="D273">
        <v>3</v>
      </c>
      <c r="E273">
        <v>0</v>
      </c>
      <c r="F273">
        <v>2</v>
      </c>
      <c r="G273">
        <v>1</v>
      </c>
      <c r="H273">
        <v>1</v>
      </c>
      <c r="I273">
        <v>258333</v>
      </c>
      <c r="J273">
        <v>255042</v>
      </c>
      <c r="K273">
        <v>456667</v>
      </c>
      <c r="L273">
        <v>200875</v>
      </c>
      <c r="M273">
        <v>221</v>
      </c>
      <c r="N273">
        <v>3735</v>
      </c>
      <c r="O273">
        <v>3956</v>
      </c>
    </row>
    <row r="274" spans="1:15" hidden="1" x14ac:dyDescent="0.25">
      <c r="A274" s="1">
        <v>40981</v>
      </c>
      <c r="B274">
        <v>1</v>
      </c>
      <c r="C274">
        <v>1</v>
      </c>
      <c r="D274">
        <v>3</v>
      </c>
      <c r="E274">
        <v>0</v>
      </c>
      <c r="F274">
        <v>2</v>
      </c>
      <c r="G274">
        <v>1</v>
      </c>
      <c r="H274">
        <v>1</v>
      </c>
      <c r="I274">
        <v>565</v>
      </c>
      <c r="J274">
        <v>542929</v>
      </c>
      <c r="K274">
        <v>6175</v>
      </c>
      <c r="L274">
        <v>23695</v>
      </c>
      <c r="M274">
        <v>762</v>
      </c>
      <c r="N274">
        <v>5085</v>
      </c>
      <c r="O274">
        <v>5847</v>
      </c>
    </row>
    <row r="275" spans="1:15" hidden="1" x14ac:dyDescent="0.25">
      <c r="A275" s="1">
        <v>40988</v>
      </c>
      <c r="B275">
        <v>1</v>
      </c>
      <c r="C275">
        <v>1</v>
      </c>
      <c r="D275">
        <v>3</v>
      </c>
      <c r="E275">
        <v>0</v>
      </c>
      <c r="F275">
        <v>2</v>
      </c>
      <c r="G275">
        <v>1</v>
      </c>
      <c r="H275">
        <v>1</v>
      </c>
      <c r="I275">
        <v>560833</v>
      </c>
      <c r="J275">
        <v>538533</v>
      </c>
      <c r="K275">
        <v>807917</v>
      </c>
      <c r="L275">
        <v>121271</v>
      </c>
      <c r="M275">
        <v>1051</v>
      </c>
      <c r="N275">
        <v>5042</v>
      </c>
      <c r="O275">
        <v>6093</v>
      </c>
    </row>
    <row r="276" spans="1:15" hidden="1" x14ac:dyDescent="0.25">
      <c r="A276" s="1">
        <v>40995</v>
      </c>
      <c r="B276">
        <v>2</v>
      </c>
      <c r="C276">
        <v>1</v>
      </c>
      <c r="D276">
        <v>3</v>
      </c>
      <c r="E276">
        <v>0</v>
      </c>
      <c r="F276">
        <v>2</v>
      </c>
      <c r="G276">
        <v>1</v>
      </c>
      <c r="H276">
        <v>1</v>
      </c>
      <c r="I276">
        <v>323333</v>
      </c>
      <c r="J276">
        <v>315654</v>
      </c>
      <c r="K276">
        <v>29</v>
      </c>
      <c r="L276">
        <v>187192</v>
      </c>
      <c r="M276">
        <v>531</v>
      </c>
      <c r="N276">
        <v>4571</v>
      </c>
      <c r="O276">
        <v>5102</v>
      </c>
    </row>
    <row r="277" spans="1:15" hidden="1" x14ac:dyDescent="0.25">
      <c r="A277" s="1">
        <v>41002</v>
      </c>
      <c r="B277">
        <v>2</v>
      </c>
      <c r="C277">
        <v>1</v>
      </c>
      <c r="D277">
        <v>4</v>
      </c>
      <c r="E277">
        <v>0</v>
      </c>
      <c r="F277">
        <v>2</v>
      </c>
      <c r="G277">
        <v>1</v>
      </c>
      <c r="H277">
        <v>1</v>
      </c>
      <c r="I277">
        <v>466667</v>
      </c>
      <c r="J277">
        <v>461483</v>
      </c>
      <c r="K277">
        <v>396667</v>
      </c>
      <c r="L277">
        <v>100133</v>
      </c>
      <c r="M277">
        <v>1348</v>
      </c>
      <c r="N277">
        <v>5424</v>
      </c>
      <c r="O277">
        <v>6772</v>
      </c>
    </row>
    <row r="278" spans="1:15" hidden="1" x14ac:dyDescent="0.25">
      <c r="A278" s="1">
        <v>41009</v>
      </c>
      <c r="B278">
        <v>2</v>
      </c>
      <c r="C278">
        <v>1</v>
      </c>
      <c r="D278">
        <v>4</v>
      </c>
      <c r="E278">
        <v>0</v>
      </c>
      <c r="F278">
        <v>2</v>
      </c>
      <c r="G278">
        <v>1</v>
      </c>
      <c r="H278">
        <v>1</v>
      </c>
      <c r="I278">
        <v>446667</v>
      </c>
      <c r="J278">
        <v>436233</v>
      </c>
      <c r="K278">
        <v>435</v>
      </c>
      <c r="L278">
        <v>249375</v>
      </c>
      <c r="M278">
        <v>819</v>
      </c>
      <c r="N278">
        <v>5099</v>
      </c>
      <c r="O278">
        <v>5918</v>
      </c>
    </row>
    <row r="279" spans="1:15" hidden="1" x14ac:dyDescent="0.25">
      <c r="A279" s="1">
        <v>41016</v>
      </c>
      <c r="B279">
        <v>2</v>
      </c>
      <c r="C279">
        <v>1</v>
      </c>
      <c r="D279">
        <v>4</v>
      </c>
      <c r="E279">
        <v>0</v>
      </c>
      <c r="F279">
        <v>2</v>
      </c>
      <c r="G279">
        <v>1</v>
      </c>
      <c r="H279">
        <v>1</v>
      </c>
      <c r="I279">
        <v>608333</v>
      </c>
      <c r="J279">
        <v>598487</v>
      </c>
      <c r="K279">
        <v>390417</v>
      </c>
      <c r="L279">
        <v>273629</v>
      </c>
      <c r="M279">
        <v>989</v>
      </c>
      <c r="N279">
        <v>5702</v>
      </c>
      <c r="O279">
        <v>6691</v>
      </c>
    </row>
    <row r="280" spans="1:15" hidden="1" x14ac:dyDescent="0.25">
      <c r="A280" s="1">
        <v>41023</v>
      </c>
      <c r="B280">
        <v>2</v>
      </c>
      <c r="C280">
        <v>1</v>
      </c>
      <c r="D280">
        <v>4</v>
      </c>
      <c r="E280">
        <v>0</v>
      </c>
      <c r="F280">
        <v>2</v>
      </c>
      <c r="G280">
        <v>1</v>
      </c>
      <c r="H280">
        <v>1</v>
      </c>
      <c r="I280">
        <v>413333</v>
      </c>
      <c r="J280">
        <v>405283</v>
      </c>
      <c r="K280">
        <v>454167</v>
      </c>
      <c r="L280">
        <v>249383</v>
      </c>
      <c r="M280">
        <v>518</v>
      </c>
      <c r="N280">
        <v>5115</v>
      </c>
      <c r="O280">
        <v>5633</v>
      </c>
    </row>
    <row r="281" spans="1:15" hidden="1" x14ac:dyDescent="0.25">
      <c r="A281" s="1">
        <v>41030</v>
      </c>
      <c r="B281">
        <v>2</v>
      </c>
      <c r="C281">
        <v>1</v>
      </c>
      <c r="D281">
        <v>5</v>
      </c>
      <c r="E281">
        <v>0</v>
      </c>
      <c r="F281">
        <v>2</v>
      </c>
      <c r="G281">
        <v>1</v>
      </c>
      <c r="H281">
        <v>2</v>
      </c>
      <c r="I281">
        <v>613333</v>
      </c>
      <c r="J281">
        <v>577021</v>
      </c>
      <c r="K281">
        <v>659583</v>
      </c>
      <c r="L281">
        <v>156096</v>
      </c>
      <c r="M281">
        <v>653</v>
      </c>
      <c r="N281">
        <v>5087</v>
      </c>
      <c r="O281">
        <v>5740</v>
      </c>
    </row>
    <row r="282" spans="1:15" hidden="1" x14ac:dyDescent="0.25">
      <c r="A282" s="1">
        <v>41037</v>
      </c>
      <c r="B282">
        <v>2</v>
      </c>
      <c r="C282">
        <v>1</v>
      </c>
      <c r="D282">
        <v>5</v>
      </c>
      <c r="E282">
        <v>0</v>
      </c>
      <c r="F282">
        <v>2</v>
      </c>
      <c r="G282">
        <v>1</v>
      </c>
      <c r="H282">
        <v>2</v>
      </c>
      <c r="I282">
        <v>581667</v>
      </c>
      <c r="J282">
        <v>557471</v>
      </c>
      <c r="K282">
        <v>685833</v>
      </c>
      <c r="L282">
        <v>296029</v>
      </c>
      <c r="M282">
        <v>738</v>
      </c>
      <c r="N282">
        <v>4990</v>
      </c>
      <c r="O282">
        <v>5728</v>
      </c>
    </row>
    <row r="283" spans="1:15" hidden="1" x14ac:dyDescent="0.25">
      <c r="A283" s="1">
        <v>41044</v>
      </c>
      <c r="B283">
        <v>2</v>
      </c>
      <c r="C283">
        <v>1</v>
      </c>
      <c r="D283">
        <v>5</v>
      </c>
      <c r="E283">
        <v>0</v>
      </c>
      <c r="F283">
        <v>2</v>
      </c>
      <c r="G283">
        <v>1</v>
      </c>
      <c r="H283">
        <v>2</v>
      </c>
      <c r="I283">
        <v>611667</v>
      </c>
      <c r="J283">
        <v>576404</v>
      </c>
      <c r="K283">
        <v>794583</v>
      </c>
      <c r="L283">
        <v>147392</v>
      </c>
      <c r="M283">
        <v>625</v>
      </c>
      <c r="N283">
        <v>4490</v>
      </c>
      <c r="O283">
        <v>5115</v>
      </c>
    </row>
    <row r="284" spans="1:15" hidden="1" x14ac:dyDescent="0.25">
      <c r="A284" s="1">
        <v>41051</v>
      </c>
      <c r="B284">
        <v>2</v>
      </c>
      <c r="C284">
        <v>1</v>
      </c>
      <c r="D284">
        <v>5</v>
      </c>
      <c r="E284">
        <v>0</v>
      </c>
      <c r="F284">
        <v>2</v>
      </c>
      <c r="G284">
        <v>1</v>
      </c>
      <c r="H284">
        <v>2</v>
      </c>
      <c r="I284">
        <v>615</v>
      </c>
      <c r="J284">
        <v>580825</v>
      </c>
      <c r="K284">
        <v>765833</v>
      </c>
      <c r="L284">
        <v>118167</v>
      </c>
      <c r="M284">
        <v>819</v>
      </c>
      <c r="N284">
        <v>5254</v>
      </c>
      <c r="O284">
        <v>6073</v>
      </c>
    </row>
    <row r="285" spans="1:15" hidden="1" x14ac:dyDescent="0.25">
      <c r="A285" s="1">
        <v>41058</v>
      </c>
      <c r="B285">
        <v>2</v>
      </c>
      <c r="C285">
        <v>1</v>
      </c>
      <c r="D285">
        <v>5</v>
      </c>
      <c r="E285">
        <v>0</v>
      </c>
      <c r="F285">
        <v>2</v>
      </c>
      <c r="G285">
        <v>1</v>
      </c>
      <c r="H285">
        <v>1</v>
      </c>
      <c r="I285">
        <v>7225</v>
      </c>
      <c r="J285">
        <v>672992</v>
      </c>
      <c r="K285">
        <v>684583</v>
      </c>
      <c r="L285">
        <v>2954</v>
      </c>
      <c r="M285">
        <v>880</v>
      </c>
      <c r="N285">
        <v>4863</v>
      </c>
      <c r="O285">
        <v>5743</v>
      </c>
    </row>
    <row r="286" spans="1:15" hidden="1" x14ac:dyDescent="0.25">
      <c r="A286" s="1">
        <v>41065</v>
      </c>
      <c r="B286">
        <v>2</v>
      </c>
      <c r="C286">
        <v>1</v>
      </c>
      <c r="D286">
        <v>6</v>
      </c>
      <c r="E286">
        <v>0</v>
      </c>
      <c r="F286">
        <v>2</v>
      </c>
      <c r="G286">
        <v>1</v>
      </c>
      <c r="H286">
        <v>2</v>
      </c>
      <c r="I286">
        <v>540833</v>
      </c>
      <c r="J286">
        <v>525892</v>
      </c>
      <c r="K286">
        <v>613333</v>
      </c>
      <c r="L286">
        <v>209575</v>
      </c>
      <c r="M286">
        <v>968</v>
      </c>
      <c r="N286">
        <v>6033</v>
      </c>
      <c r="O286">
        <v>7001</v>
      </c>
    </row>
    <row r="287" spans="1:15" hidden="1" x14ac:dyDescent="0.25">
      <c r="A287" s="1">
        <v>41072</v>
      </c>
      <c r="B287">
        <v>2</v>
      </c>
      <c r="C287">
        <v>1</v>
      </c>
      <c r="D287">
        <v>6</v>
      </c>
      <c r="E287">
        <v>0</v>
      </c>
      <c r="F287">
        <v>2</v>
      </c>
      <c r="G287">
        <v>1</v>
      </c>
      <c r="H287">
        <v>2</v>
      </c>
      <c r="I287">
        <v>653333</v>
      </c>
      <c r="J287">
        <v>597875</v>
      </c>
      <c r="K287">
        <v>833333</v>
      </c>
      <c r="L287">
        <v>214546</v>
      </c>
      <c r="M287">
        <v>477</v>
      </c>
      <c r="N287">
        <v>4495</v>
      </c>
      <c r="O287">
        <v>4972</v>
      </c>
    </row>
    <row r="288" spans="1:15" hidden="1" x14ac:dyDescent="0.25">
      <c r="A288" s="1">
        <v>41079</v>
      </c>
      <c r="B288">
        <v>2</v>
      </c>
      <c r="C288">
        <v>1</v>
      </c>
      <c r="D288">
        <v>6</v>
      </c>
      <c r="E288">
        <v>0</v>
      </c>
      <c r="F288">
        <v>2</v>
      </c>
      <c r="G288">
        <v>1</v>
      </c>
      <c r="H288">
        <v>1</v>
      </c>
      <c r="I288">
        <v>688333</v>
      </c>
      <c r="J288">
        <v>654692</v>
      </c>
      <c r="K288">
        <v>69</v>
      </c>
      <c r="L288">
        <v>148017</v>
      </c>
      <c r="M288">
        <v>968</v>
      </c>
      <c r="N288">
        <v>5857</v>
      </c>
      <c r="O288">
        <v>6825</v>
      </c>
    </row>
    <row r="289" spans="1:15" hidden="1" x14ac:dyDescent="0.25">
      <c r="A289" s="1">
        <v>41086</v>
      </c>
      <c r="B289">
        <v>3</v>
      </c>
      <c r="C289">
        <v>1</v>
      </c>
      <c r="D289">
        <v>6</v>
      </c>
      <c r="E289">
        <v>0</v>
      </c>
      <c r="F289">
        <v>2</v>
      </c>
      <c r="G289">
        <v>1</v>
      </c>
      <c r="H289">
        <v>1</v>
      </c>
      <c r="I289">
        <v>630833</v>
      </c>
      <c r="J289">
        <v>594704</v>
      </c>
      <c r="K289">
        <v>373333</v>
      </c>
      <c r="L289">
        <v>347642</v>
      </c>
      <c r="M289">
        <v>1077</v>
      </c>
      <c r="N289">
        <v>6365</v>
      </c>
      <c r="O289">
        <v>7442</v>
      </c>
    </row>
    <row r="290" spans="1:15" hidden="1" x14ac:dyDescent="0.25">
      <c r="A290" s="1">
        <v>41093</v>
      </c>
      <c r="B290">
        <v>3</v>
      </c>
      <c r="C290">
        <v>1</v>
      </c>
      <c r="D290">
        <v>7</v>
      </c>
      <c r="E290">
        <v>0</v>
      </c>
      <c r="F290">
        <v>2</v>
      </c>
      <c r="G290">
        <v>1</v>
      </c>
      <c r="H290">
        <v>1</v>
      </c>
      <c r="I290">
        <v>780833</v>
      </c>
      <c r="J290">
        <v>70265</v>
      </c>
      <c r="K290">
        <v>492083</v>
      </c>
      <c r="L290">
        <v>126237</v>
      </c>
      <c r="M290">
        <v>1052</v>
      </c>
      <c r="N290">
        <v>5608</v>
      </c>
      <c r="O290">
        <v>6660</v>
      </c>
    </row>
    <row r="291" spans="1:15" hidden="1" x14ac:dyDescent="0.25">
      <c r="A291" s="1">
        <v>41100</v>
      </c>
      <c r="B291">
        <v>3</v>
      </c>
      <c r="C291">
        <v>1</v>
      </c>
      <c r="D291">
        <v>7</v>
      </c>
      <c r="E291">
        <v>0</v>
      </c>
      <c r="F291">
        <v>2</v>
      </c>
      <c r="G291">
        <v>1</v>
      </c>
      <c r="H291">
        <v>2</v>
      </c>
      <c r="I291">
        <v>720833</v>
      </c>
      <c r="J291">
        <v>664796</v>
      </c>
      <c r="K291">
        <v>6675</v>
      </c>
      <c r="L291">
        <v>151737</v>
      </c>
      <c r="M291">
        <v>954</v>
      </c>
      <c r="N291">
        <v>5336</v>
      </c>
      <c r="O291">
        <v>6290</v>
      </c>
    </row>
    <row r="292" spans="1:15" hidden="1" x14ac:dyDescent="0.25">
      <c r="A292" s="1">
        <v>41107</v>
      </c>
      <c r="B292">
        <v>3</v>
      </c>
      <c r="C292">
        <v>1</v>
      </c>
      <c r="D292">
        <v>7</v>
      </c>
      <c r="E292">
        <v>0</v>
      </c>
      <c r="F292">
        <v>2</v>
      </c>
      <c r="G292">
        <v>1</v>
      </c>
      <c r="H292">
        <v>1</v>
      </c>
      <c r="I292">
        <v>818333</v>
      </c>
      <c r="J292">
        <v>755683</v>
      </c>
      <c r="K292">
        <v>505833</v>
      </c>
      <c r="L292">
        <v>114429</v>
      </c>
      <c r="M292">
        <v>921</v>
      </c>
      <c r="N292">
        <v>5865</v>
      </c>
      <c r="O292">
        <v>6786</v>
      </c>
    </row>
    <row r="293" spans="1:15" hidden="1" x14ac:dyDescent="0.25">
      <c r="A293" s="1">
        <v>41114</v>
      </c>
      <c r="B293">
        <v>3</v>
      </c>
      <c r="C293">
        <v>1</v>
      </c>
      <c r="D293">
        <v>7</v>
      </c>
      <c r="E293">
        <v>0</v>
      </c>
      <c r="F293">
        <v>2</v>
      </c>
      <c r="G293">
        <v>1</v>
      </c>
      <c r="H293">
        <v>1</v>
      </c>
      <c r="I293">
        <v>750833</v>
      </c>
      <c r="J293">
        <v>70645</v>
      </c>
      <c r="K293">
        <v>655</v>
      </c>
      <c r="L293">
        <v>211454</v>
      </c>
      <c r="M293">
        <v>1140</v>
      </c>
      <c r="N293">
        <v>6452</v>
      </c>
      <c r="O293">
        <v>7592</v>
      </c>
    </row>
    <row r="294" spans="1:15" hidden="1" x14ac:dyDescent="0.25">
      <c r="A294" s="1">
        <v>41121</v>
      </c>
      <c r="B294">
        <v>3</v>
      </c>
      <c r="C294">
        <v>1</v>
      </c>
      <c r="D294">
        <v>7</v>
      </c>
      <c r="E294">
        <v>0</v>
      </c>
      <c r="F294">
        <v>2</v>
      </c>
      <c r="G294">
        <v>1</v>
      </c>
      <c r="H294">
        <v>1</v>
      </c>
      <c r="I294">
        <v>713333</v>
      </c>
      <c r="J294">
        <v>662896</v>
      </c>
      <c r="K294">
        <v>704167</v>
      </c>
      <c r="L294">
        <v>165425</v>
      </c>
      <c r="M294">
        <v>968</v>
      </c>
      <c r="N294">
        <v>6248</v>
      </c>
      <c r="O294">
        <v>7216</v>
      </c>
    </row>
    <row r="295" spans="1:15" hidden="1" x14ac:dyDescent="0.25">
      <c r="A295" s="1">
        <v>41128</v>
      </c>
      <c r="B295">
        <v>3</v>
      </c>
      <c r="C295">
        <v>1</v>
      </c>
      <c r="D295">
        <v>8</v>
      </c>
      <c r="E295">
        <v>0</v>
      </c>
      <c r="F295">
        <v>2</v>
      </c>
      <c r="G295">
        <v>1</v>
      </c>
      <c r="H295">
        <v>2</v>
      </c>
      <c r="I295">
        <v>735833</v>
      </c>
      <c r="J295">
        <v>697621</v>
      </c>
      <c r="K295">
        <v>70375</v>
      </c>
      <c r="L295">
        <v>116908</v>
      </c>
      <c r="M295">
        <v>1278</v>
      </c>
      <c r="N295">
        <v>5995</v>
      </c>
      <c r="O295">
        <v>7273</v>
      </c>
    </row>
    <row r="296" spans="1:15" hidden="1" x14ac:dyDescent="0.25">
      <c r="A296" s="1">
        <v>41135</v>
      </c>
      <c r="B296">
        <v>3</v>
      </c>
      <c r="C296">
        <v>1</v>
      </c>
      <c r="D296">
        <v>8</v>
      </c>
      <c r="E296">
        <v>0</v>
      </c>
      <c r="F296">
        <v>2</v>
      </c>
      <c r="G296">
        <v>1</v>
      </c>
      <c r="H296">
        <v>1</v>
      </c>
      <c r="I296">
        <v>726667</v>
      </c>
      <c r="J296">
        <v>676779</v>
      </c>
      <c r="K296">
        <v>686667</v>
      </c>
      <c r="L296">
        <v>169158</v>
      </c>
      <c r="M296">
        <v>1128</v>
      </c>
      <c r="N296">
        <v>5656</v>
      </c>
      <c r="O296">
        <v>6784</v>
      </c>
    </row>
    <row r="297" spans="1:15" hidden="1" x14ac:dyDescent="0.25">
      <c r="A297" s="1">
        <v>41142</v>
      </c>
      <c r="B297">
        <v>3</v>
      </c>
      <c r="C297">
        <v>1</v>
      </c>
      <c r="D297">
        <v>8</v>
      </c>
      <c r="E297">
        <v>0</v>
      </c>
      <c r="F297">
        <v>2</v>
      </c>
      <c r="G297">
        <v>1</v>
      </c>
      <c r="H297">
        <v>1</v>
      </c>
      <c r="I297">
        <v>649167</v>
      </c>
      <c r="J297">
        <v>601025</v>
      </c>
      <c r="K297">
        <v>67375</v>
      </c>
      <c r="L297">
        <v>727708</v>
      </c>
      <c r="M297">
        <v>1081</v>
      </c>
      <c r="N297">
        <v>5925</v>
      </c>
      <c r="O297">
        <v>7006</v>
      </c>
    </row>
    <row r="298" spans="1:15" hidden="1" x14ac:dyDescent="0.25">
      <c r="A298" s="1">
        <v>41149</v>
      </c>
      <c r="B298">
        <v>3</v>
      </c>
      <c r="C298">
        <v>1</v>
      </c>
      <c r="D298">
        <v>8</v>
      </c>
      <c r="E298">
        <v>0</v>
      </c>
      <c r="F298">
        <v>2</v>
      </c>
      <c r="G298">
        <v>1</v>
      </c>
      <c r="H298">
        <v>1</v>
      </c>
      <c r="I298">
        <v>728333</v>
      </c>
      <c r="J298">
        <v>66605</v>
      </c>
      <c r="K298">
        <v>62</v>
      </c>
      <c r="L298">
        <v>190925</v>
      </c>
      <c r="M298">
        <v>935</v>
      </c>
      <c r="N298">
        <v>6105</v>
      </c>
      <c r="O298">
        <v>7040</v>
      </c>
    </row>
    <row r="299" spans="1:15" hidden="1" x14ac:dyDescent="0.25">
      <c r="A299" s="1">
        <v>41156</v>
      </c>
      <c r="B299">
        <v>3</v>
      </c>
      <c r="C299">
        <v>1</v>
      </c>
      <c r="D299">
        <v>9</v>
      </c>
      <c r="E299">
        <v>0</v>
      </c>
      <c r="F299">
        <v>2</v>
      </c>
      <c r="G299">
        <v>1</v>
      </c>
      <c r="H299">
        <v>1</v>
      </c>
      <c r="I299">
        <v>725833</v>
      </c>
      <c r="J299">
        <v>686888</v>
      </c>
      <c r="K299">
        <v>755</v>
      </c>
      <c r="L299">
        <v>236321</v>
      </c>
      <c r="M299">
        <v>867</v>
      </c>
      <c r="N299">
        <v>5997</v>
      </c>
      <c r="O299">
        <v>6864</v>
      </c>
    </row>
    <row r="300" spans="1:15" hidden="1" x14ac:dyDescent="0.25">
      <c r="A300" s="1">
        <v>41163</v>
      </c>
      <c r="B300">
        <v>3</v>
      </c>
      <c r="C300">
        <v>1</v>
      </c>
      <c r="D300">
        <v>9</v>
      </c>
      <c r="E300">
        <v>0</v>
      </c>
      <c r="F300">
        <v>2</v>
      </c>
      <c r="G300">
        <v>1</v>
      </c>
      <c r="H300">
        <v>1</v>
      </c>
      <c r="I300">
        <v>5775</v>
      </c>
      <c r="J300">
        <v>554292</v>
      </c>
      <c r="K300">
        <v>52</v>
      </c>
      <c r="L300">
        <v>920542</v>
      </c>
      <c r="M300">
        <v>1070</v>
      </c>
      <c r="N300">
        <v>6697</v>
      </c>
      <c r="O300">
        <v>7767</v>
      </c>
    </row>
    <row r="301" spans="1:15" hidden="1" x14ac:dyDescent="0.25">
      <c r="A301" s="1">
        <v>41170</v>
      </c>
      <c r="B301">
        <v>3</v>
      </c>
      <c r="C301">
        <v>1</v>
      </c>
      <c r="D301">
        <v>9</v>
      </c>
      <c r="E301">
        <v>0</v>
      </c>
      <c r="F301">
        <v>2</v>
      </c>
      <c r="G301">
        <v>1</v>
      </c>
      <c r="H301">
        <v>2</v>
      </c>
      <c r="I301">
        <v>623333</v>
      </c>
      <c r="J301">
        <v>565067</v>
      </c>
      <c r="K301">
        <v>8725</v>
      </c>
      <c r="L301">
        <v>357587</v>
      </c>
      <c r="M301">
        <v>371</v>
      </c>
      <c r="N301">
        <v>3702</v>
      </c>
      <c r="O301">
        <v>4073</v>
      </c>
    </row>
    <row r="302" spans="1:15" hidden="1" x14ac:dyDescent="0.25">
      <c r="A302" s="1">
        <v>41177</v>
      </c>
      <c r="B302">
        <v>4</v>
      </c>
      <c r="C302">
        <v>1</v>
      </c>
      <c r="D302">
        <v>9</v>
      </c>
      <c r="E302">
        <v>0</v>
      </c>
      <c r="F302">
        <v>2</v>
      </c>
      <c r="G302">
        <v>1</v>
      </c>
      <c r="H302">
        <v>1</v>
      </c>
      <c r="I302">
        <v>55</v>
      </c>
      <c r="J302">
        <v>544179</v>
      </c>
      <c r="K302">
        <v>57</v>
      </c>
      <c r="L302">
        <v>236321</v>
      </c>
      <c r="M302">
        <v>845</v>
      </c>
      <c r="N302">
        <v>6693</v>
      </c>
      <c r="O302">
        <v>7538</v>
      </c>
    </row>
    <row r="303" spans="1:15" hidden="1" x14ac:dyDescent="0.25">
      <c r="A303" s="1">
        <v>41184</v>
      </c>
      <c r="B303">
        <v>4</v>
      </c>
      <c r="C303">
        <v>1</v>
      </c>
      <c r="D303">
        <v>10</v>
      </c>
      <c r="E303">
        <v>0</v>
      </c>
      <c r="F303">
        <v>2</v>
      </c>
      <c r="G303">
        <v>1</v>
      </c>
      <c r="H303">
        <v>3</v>
      </c>
      <c r="I303">
        <v>590833</v>
      </c>
      <c r="J303">
        <v>542333</v>
      </c>
      <c r="K303">
        <v>871667</v>
      </c>
      <c r="L303">
        <v>104475</v>
      </c>
      <c r="M303">
        <v>315</v>
      </c>
      <c r="N303">
        <v>4324</v>
      </c>
      <c r="O303">
        <v>4639</v>
      </c>
    </row>
    <row r="304" spans="1:15" hidden="1" x14ac:dyDescent="0.25">
      <c r="A304" s="1">
        <v>41191</v>
      </c>
      <c r="B304">
        <v>4</v>
      </c>
      <c r="C304">
        <v>1</v>
      </c>
      <c r="D304">
        <v>10</v>
      </c>
      <c r="E304">
        <v>0</v>
      </c>
      <c r="F304">
        <v>2</v>
      </c>
      <c r="G304">
        <v>1</v>
      </c>
      <c r="H304">
        <v>2</v>
      </c>
      <c r="I304">
        <v>446667</v>
      </c>
      <c r="J304">
        <v>438112</v>
      </c>
      <c r="K304">
        <v>761667</v>
      </c>
      <c r="L304">
        <v>1903</v>
      </c>
      <c r="M304">
        <v>601</v>
      </c>
      <c r="N304">
        <v>5791</v>
      </c>
      <c r="O304">
        <v>6392</v>
      </c>
    </row>
    <row r="305" spans="1:15" hidden="1" x14ac:dyDescent="0.25">
      <c r="A305" s="1">
        <v>41198</v>
      </c>
      <c r="B305">
        <v>4</v>
      </c>
      <c r="C305">
        <v>1</v>
      </c>
      <c r="D305">
        <v>10</v>
      </c>
      <c r="E305">
        <v>0</v>
      </c>
      <c r="F305">
        <v>2</v>
      </c>
      <c r="G305">
        <v>1</v>
      </c>
      <c r="H305">
        <v>1</v>
      </c>
      <c r="I305">
        <v>468333</v>
      </c>
      <c r="J305">
        <v>460846</v>
      </c>
      <c r="K305">
        <v>558333</v>
      </c>
      <c r="L305">
        <v>182221</v>
      </c>
      <c r="M305">
        <v>922</v>
      </c>
      <c r="N305">
        <v>6612</v>
      </c>
      <c r="O305">
        <v>7534</v>
      </c>
    </row>
    <row r="306" spans="1:15" hidden="1" x14ac:dyDescent="0.25">
      <c r="A306" s="1">
        <v>41205</v>
      </c>
      <c r="B306">
        <v>4</v>
      </c>
      <c r="C306">
        <v>1</v>
      </c>
      <c r="D306">
        <v>10</v>
      </c>
      <c r="E306">
        <v>0</v>
      </c>
      <c r="F306">
        <v>2</v>
      </c>
      <c r="G306">
        <v>1</v>
      </c>
      <c r="H306">
        <v>1</v>
      </c>
      <c r="I306">
        <v>544167</v>
      </c>
      <c r="J306">
        <v>530304</v>
      </c>
      <c r="K306">
        <v>641667</v>
      </c>
      <c r="L306">
        <v>945458</v>
      </c>
      <c r="M306">
        <v>841</v>
      </c>
      <c r="N306">
        <v>6625</v>
      </c>
      <c r="O306">
        <v>7466</v>
      </c>
    </row>
    <row r="307" spans="1:15" hidden="1" x14ac:dyDescent="0.25">
      <c r="A307" s="1">
        <v>41212</v>
      </c>
      <c r="B307">
        <v>4</v>
      </c>
      <c r="C307">
        <v>1</v>
      </c>
      <c r="D307">
        <v>10</v>
      </c>
      <c r="E307">
        <v>0</v>
      </c>
      <c r="F307">
        <v>2</v>
      </c>
      <c r="G307">
        <v>1</v>
      </c>
      <c r="H307">
        <v>2</v>
      </c>
      <c r="I307">
        <v>318182</v>
      </c>
      <c r="J307">
        <v>309909</v>
      </c>
      <c r="K307">
        <v>825455</v>
      </c>
      <c r="L307">
        <v>213009</v>
      </c>
      <c r="M307">
        <v>87</v>
      </c>
      <c r="N307">
        <v>1009</v>
      </c>
      <c r="O307">
        <v>1096</v>
      </c>
    </row>
    <row r="308" spans="1:15" hidden="1" x14ac:dyDescent="0.25">
      <c r="A308" s="1">
        <v>41219</v>
      </c>
      <c r="B308">
        <v>4</v>
      </c>
      <c r="C308">
        <v>1</v>
      </c>
      <c r="D308">
        <v>11</v>
      </c>
      <c r="E308">
        <v>0</v>
      </c>
      <c r="F308">
        <v>2</v>
      </c>
      <c r="G308">
        <v>1</v>
      </c>
      <c r="H308">
        <v>1</v>
      </c>
      <c r="I308">
        <v>280833</v>
      </c>
      <c r="J308">
        <v>281567</v>
      </c>
      <c r="K308">
        <v>567083</v>
      </c>
      <c r="L308">
        <v>173513</v>
      </c>
      <c r="M308">
        <v>466</v>
      </c>
      <c r="N308">
        <v>5220</v>
      </c>
      <c r="O308">
        <v>5686</v>
      </c>
    </row>
    <row r="309" spans="1:15" hidden="1" x14ac:dyDescent="0.25">
      <c r="A309" s="1">
        <v>41226</v>
      </c>
      <c r="B309">
        <v>4</v>
      </c>
      <c r="C309">
        <v>1</v>
      </c>
      <c r="D309">
        <v>11</v>
      </c>
      <c r="E309">
        <v>0</v>
      </c>
      <c r="F309">
        <v>2</v>
      </c>
      <c r="G309">
        <v>1</v>
      </c>
      <c r="H309">
        <v>2</v>
      </c>
      <c r="I309">
        <v>343333</v>
      </c>
      <c r="J309">
        <v>323225</v>
      </c>
      <c r="K309">
        <v>662917</v>
      </c>
      <c r="L309">
        <v>342046</v>
      </c>
      <c r="M309">
        <v>327</v>
      </c>
      <c r="N309">
        <v>3767</v>
      </c>
      <c r="O309">
        <v>4094</v>
      </c>
    </row>
    <row r="310" spans="1:15" hidden="1" x14ac:dyDescent="0.25">
      <c r="A310" s="1">
        <v>41233</v>
      </c>
      <c r="B310">
        <v>4</v>
      </c>
      <c r="C310">
        <v>1</v>
      </c>
      <c r="D310">
        <v>11</v>
      </c>
      <c r="E310">
        <v>0</v>
      </c>
      <c r="F310">
        <v>2</v>
      </c>
      <c r="G310">
        <v>1</v>
      </c>
      <c r="H310">
        <v>2</v>
      </c>
      <c r="I310">
        <v>374167</v>
      </c>
      <c r="J310">
        <v>380667</v>
      </c>
      <c r="K310">
        <v>685</v>
      </c>
      <c r="L310">
        <v>82725</v>
      </c>
      <c r="M310">
        <v>534</v>
      </c>
      <c r="N310">
        <v>5100</v>
      </c>
      <c r="O310">
        <v>5634</v>
      </c>
    </row>
    <row r="311" spans="1:15" hidden="1" x14ac:dyDescent="0.25">
      <c r="A311" s="1">
        <v>41240</v>
      </c>
      <c r="B311">
        <v>4</v>
      </c>
      <c r="C311">
        <v>1</v>
      </c>
      <c r="D311">
        <v>11</v>
      </c>
      <c r="E311">
        <v>0</v>
      </c>
      <c r="F311">
        <v>2</v>
      </c>
      <c r="G311">
        <v>1</v>
      </c>
      <c r="H311">
        <v>2</v>
      </c>
      <c r="I311">
        <v>291667</v>
      </c>
      <c r="J311">
        <v>281558</v>
      </c>
      <c r="K311">
        <v>786667</v>
      </c>
      <c r="L311">
        <v>237562</v>
      </c>
      <c r="M311">
        <v>123</v>
      </c>
      <c r="N311">
        <v>3836</v>
      </c>
      <c r="O311">
        <v>3959</v>
      </c>
    </row>
    <row r="312" spans="1:15" hidden="1" x14ac:dyDescent="0.25">
      <c r="A312" s="1">
        <v>41247</v>
      </c>
      <c r="B312">
        <v>4</v>
      </c>
      <c r="C312">
        <v>1</v>
      </c>
      <c r="D312">
        <v>12</v>
      </c>
      <c r="E312">
        <v>0</v>
      </c>
      <c r="F312">
        <v>2</v>
      </c>
      <c r="G312">
        <v>1</v>
      </c>
      <c r="H312">
        <v>1</v>
      </c>
      <c r="I312">
        <v>475833</v>
      </c>
      <c r="J312">
        <v>469054</v>
      </c>
      <c r="K312">
        <v>73375</v>
      </c>
      <c r="L312">
        <v>174129</v>
      </c>
      <c r="M312">
        <v>551</v>
      </c>
      <c r="N312">
        <v>6055</v>
      </c>
      <c r="O312">
        <v>6606</v>
      </c>
    </row>
    <row r="313" spans="1:15" hidden="1" x14ac:dyDescent="0.25">
      <c r="A313" s="1">
        <v>41254</v>
      </c>
      <c r="B313">
        <v>4</v>
      </c>
      <c r="C313">
        <v>1</v>
      </c>
      <c r="D313">
        <v>12</v>
      </c>
      <c r="E313">
        <v>0</v>
      </c>
      <c r="F313">
        <v>2</v>
      </c>
      <c r="G313">
        <v>1</v>
      </c>
      <c r="H313">
        <v>2</v>
      </c>
      <c r="I313">
        <v>353333</v>
      </c>
      <c r="J313">
        <v>338363</v>
      </c>
      <c r="K313">
        <v>596667</v>
      </c>
      <c r="L313">
        <v>296037</v>
      </c>
      <c r="M313">
        <v>282</v>
      </c>
      <c r="N313">
        <v>5219</v>
      </c>
      <c r="O313">
        <v>5501</v>
      </c>
    </row>
    <row r="314" spans="1:15" hidden="1" x14ac:dyDescent="0.25">
      <c r="A314" s="1">
        <v>41261</v>
      </c>
      <c r="B314">
        <v>4</v>
      </c>
      <c r="C314">
        <v>1</v>
      </c>
      <c r="D314">
        <v>12</v>
      </c>
      <c r="E314">
        <v>0</v>
      </c>
      <c r="F314">
        <v>2</v>
      </c>
      <c r="G314">
        <v>1</v>
      </c>
      <c r="H314">
        <v>1</v>
      </c>
      <c r="I314">
        <v>410833</v>
      </c>
      <c r="J314">
        <v>409708</v>
      </c>
      <c r="K314">
        <v>66625</v>
      </c>
      <c r="L314">
        <v>221404</v>
      </c>
      <c r="M314">
        <v>433</v>
      </c>
      <c r="N314">
        <v>5124</v>
      </c>
      <c r="O314">
        <v>5557</v>
      </c>
    </row>
    <row r="315" spans="1:15" hidden="1" x14ac:dyDescent="0.25">
      <c r="A315" s="1">
        <v>41268</v>
      </c>
      <c r="B315">
        <v>1</v>
      </c>
      <c r="C315">
        <v>1</v>
      </c>
      <c r="D315">
        <v>12</v>
      </c>
      <c r="E315">
        <v>1</v>
      </c>
      <c r="F315">
        <v>2</v>
      </c>
      <c r="G315">
        <v>0</v>
      </c>
      <c r="H315">
        <v>2</v>
      </c>
      <c r="I315">
        <v>291304</v>
      </c>
      <c r="J315">
        <v>294465</v>
      </c>
      <c r="K315">
        <v>734783</v>
      </c>
      <c r="L315">
        <v>168726</v>
      </c>
      <c r="M315">
        <v>440</v>
      </c>
      <c r="N315">
        <v>573</v>
      </c>
      <c r="O315">
        <v>1013</v>
      </c>
    </row>
    <row r="316" spans="1:15" hidden="1" x14ac:dyDescent="0.25">
      <c r="A316" s="1">
        <v>40548</v>
      </c>
      <c r="B316">
        <v>1</v>
      </c>
      <c r="C316">
        <v>0</v>
      </c>
      <c r="D316">
        <v>1</v>
      </c>
      <c r="E316">
        <v>0</v>
      </c>
      <c r="F316">
        <v>3</v>
      </c>
      <c r="G316">
        <v>1</v>
      </c>
      <c r="H316">
        <v>1</v>
      </c>
      <c r="I316">
        <v>226957</v>
      </c>
      <c r="J316">
        <v>22927</v>
      </c>
      <c r="K316">
        <v>436957</v>
      </c>
      <c r="L316">
        <v>1869</v>
      </c>
      <c r="M316">
        <v>82</v>
      </c>
      <c r="N316">
        <v>1518</v>
      </c>
      <c r="O316">
        <v>1600</v>
      </c>
    </row>
    <row r="317" spans="1:15" hidden="1" x14ac:dyDescent="0.25">
      <c r="A317" s="1">
        <v>40555</v>
      </c>
      <c r="B317">
        <v>1</v>
      </c>
      <c r="C317">
        <v>0</v>
      </c>
      <c r="D317">
        <v>1</v>
      </c>
      <c r="E317">
        <v>0</v>
      </c>
      <c r="F317">
        <v>3</v>
      </c>
      <c r="G317">
        <v>1</v>
      </c>
      <c r="H317">
        <v>1</v>
      </c>
      <c r="I317">
        <v>172727</v>
      </c>
      <c r="J317">
        <v>160473</v>
      </c>
      <c r="K317">
        <v>599545</v>
      </c>
      <c r="L317">
        <v>304627</v>
      </c>
      <c r="M317">
        <v>25</v>
      </c>
      <c r="N317">
        <v>1137</v>
      </c>
      <c r="O317">
        <v>1162</v>
      </c>
    </row>
    <row r="318" spans="1:15" hidden="1" x14ac:dyDescent="0.25">
      <c r="A318" s="1">
        <v>40562</v>
      </c>
      <c r="B318">
        <v>1</v>
      </c>
      <c r="C318">
        <v>0</v>
      </c>
      <c r="D318">
        <v>1</v>
      </c>
      <c r="E318">
        <v>0</v>
      </c>
      <c r="F318">
        <v>3</v>
      </c>
      <c r="G318">
        <v>1</v>
      </c>
      <c r="H318">
        <v>2</v>
      </c>
      <c r="I318">
        <v>292174</v>
      </c>
      <c r="J318">
        <v>298422</v>
      </c>
      <c r="K318">
        <v>741739</v>
      </c>
      <c r="L318">
        <v>208317</v>
      </c>
      <c r="M318">
        <v>78</v>
      </c>
      <c r="N318">
        <v>1572</v>
      </c>
      <c r="O318">
        <v>1650</v>
      </c>
    </row>
    <row r="319" spans="1:15" hidden="1" x14ac:dyDescent="0.25">
      <c r="A319" s="1">
        <v>40569</v>
      </c>
      <c r="B319">
        <v>1</v>
      </c>
      <c r="C319">
        <v>0</v>
      </c>
      <c r="D319">
        <v>1</v>
      </c>
      <c r="E319">
        <v>0</v>
      </c>
      <c r="F319">
        <v>3</v>
      </c>
      <c r="G319">
        <v>1</v>
      </c>
      <c r="H319">
        <v>3</v>
      </c>
      <c r="I319">
        <v>2175</v>
      </c>
      <c r="J319">
        <v>2036</v>
      </c>
      <c r="K319">
        <v>8625</v>
      </c>
      <c r="L319">
        <v>29385</v>
      </c>
      <c r="M319">
        <v>34</v>
      </c>
      <c r="N319">
        <v>472</v>
      </c>
      <c r="O319">
        <v>506</v>
      </c>
    </row>
    <row r="320" spans="1:15" hidden="1" x14ac:dyDescent="0.25">
      <c r="A320" s="1">
        <v>40576</v>
      </c>
      <c r="B320">
        <v>1</v>
      </c>
      <c r="C320">
        <v>0</v>
      </c>
      <c r="D320">
        <v>2</v>
      </c>
      <c r="E320">
        <v>0</v>
      </c>
      <c r="F320">
        <v>3</v>
      </c>
      <c r="G320">
        <v>1</v>
      </c>
      <c r="H320">
        <v>2</v>
      </c>
      <c r="I320">
        <v>26</v>
      </c>
      <c r="J320">
        <v>254417</v>
      </c>
      <c r="K320">
        <v>775417</v>
      </c>
      <c r="L320">
        <v>264308</v>
      </c>
      <c r="M320">
        <v>72</v>
      </c>
      <c r="N320">
        <v>1454</v>
      </c>
      <c r="O320">
        <v>1526</v>
      </c>
    </row>
    <row r="321" spans="1:15" hidden="1" x14ac:dyDescent="0.25">
      <c r="A321" s="1">
        <v>40583</v>
      </c>
      <c r="B321">
        <v>1</v>
      </c>
      <c r="C321">
        <v>0</v>
      </c>
      <c r="D321">
        <v>2</v>
      </c>
      <c r="E321">
        <v>0</v>
      </c>
      <c r="F321">
        <v>3</v>
      </c>
      <c r="G321">
        <v>1</v>
      </c>
      <c r="H321">
        <v>2</v>
      </c>
      <c r="I321">
        <v>134783</v>
      </c>
      <c r="J321">
        <v>144283</v>
      </c>
      <c r="K321">
        <v>494783</v>
      </c>
      <c r="L321">
        <v>188839</v>
      </c>
      <c r="M321">
        <v>53</v>
      </c>
      <c r="N321">
        <v>1552</v>
      </c>
      <c r="O321">
        <v>1605</v>
      </c>
    </row>
    <row r="322" spans="1:15" hidden="1" x14ac:dyDescent="0.25">
      <c r="A322" s="1">
        <v>40590</v>
      </c>
      <c r="B322">
        <v>1</v>
      </c>
      <c r="C322">
        <v>0</v>
      </c>
      <c r="D322">
        <v>2</v>
      </c>
      <c r="E322">
        <v>0</v>
      </c>
      <c r="F322">
        <v>3</v>
      </c>
      <c r="G322">
        <v>1</v>
      </c>
      <c r="H322">
        <v>1</v>
      </c>
      <c r="I322">
        <v>318261</v>
      </c>
      <c r="J322">
        <v>3162</v>
      </c>
      <c r="K322">
        <v>423478</v>
      </c>
      <c r="L322">
        <v>251791</v>
      </c>
      <c r="M322">
        <v>218</v>
      </c>
      <c r="N322">
        <v>1897</v>
      </c>
      <c r="O322">
        <v>2115</v>
      </c>
    </row>
    <row r="323" spans="1:15" hidden="1" x14ac:dyDescent="0.25">
      <c r="A323" s="1">
        <v>40597</v>
      </c>
      <c r="B323">
        <v>1</v>
      </c>
      <c r="C323">
        <v>0</v>
      </c>
      <c r="D323">
        <v>2</v>
      </c>
      <c r="E323">
        <v>0</v>
      </c>
      <c r="F323">
        <v>3</v>
      </c>
      <c r="G323">
        <v>1</v>
      </c>
      <c r="H323">
        <v>1</v>
      </c>
      <c r="I323">
        <v>221739</v>
      </c>
      <c r="J323">
        <v>245717</v>
      </c>
      <c r="K323">
        <v>423043</v>
      </c>
      <c r="L323">
        <v>94113</v>
      </c>
      <c r="M323">
        <v>139</v>
      </c>
      <c r="N323">
        <v>1778</v>
      </c>
      <c r="O323">
        <v>1917</v>
      </c>
    </row>
    <row r="324" spans="1:15" hidden="1" x14ac:dyDescent="0.25">
      <c r="A324" s="1">
        <v>40604</v>
      </c>
      <c r="B324">
        <v>1</v>
      </c>
      <c r="C324">
        <v>0</v>
      </c>
      <c r="D324">
        <v>3</v>
      </c>
      <c r="E324">
        <v>0</v>
      </c>
      <c r="F324">
        <v>3</v>
      </c>
      <c r="G324">
        <v>1</v>
      </c>
      <c r="H324">
        <v>1</v>
      </c>
      <c r="I324">
        <v>335</v>
      </c>
      <c r="J324">
        <v>320071</v>
      </c>
      <c r="K324">
        <v>449583</v>
      </c>
      <c r="L324">
        <v>307833</v>
      </c>
      <c r="M324">
        <v>231</v>
      </c>
      <c r="N324">
        <v>1903</v>
      </c>
      <c r="O324">
        <v>2134</v>
      </c>
    </row>
    <row r="325" spans="1:15" hidden="1" x14ac:dyDescent="0.25">
      <c r="A325" s="1">
        <v>40611</v>
      </c>
      <c r="B325">
        <v>1</v>
      </c>
      <c r="C325">
        <v>0</v>
      </c>
      <c r="D325">
        <v>3</v>
      </c>
      <c r="E325">
        <v>0</v>
      </c>
      <c r="F325">
        <v>3</v>
      </c>
      <c r="G325">
        <v>1</v>
      </c>
      <c r="H325">
        <v>2</v>
      </c>
      <c r="I325">
        <v>295833</v>
      </c>
      <c r="J325">
        <v>286608</v>
      </c>
      <c r="K325">
        <v>775417</v>
      </c>
      <c r="L325">
        <v>22015</v>
      </c>
      <c r="M325">
        <v>191</v>
      </c>
      <c r="N325">
        <v>1700</v>
      </c>
      <c r="O325">
        <v>1891</v>
      </c>
    </row>
    <row r="326" spans="1:15" hidden="1" x14ac:dyDescent="0.25">
      <c r="A326" s="1">
        <v>40618</v>
      </c>
      <c r="B326">
        <v>1</v>
      </c>
      <c r="C326">
        <v>0</v>
      </c>
      <c r="D326">
        <v>3</v>
      </c>
      <c r="E326">
        <v>0</v>
      </c>
      <c r="F326">
        <v>3</v>
      </c>
      <c r="G326">
        <v>1</v>
      </c>
      <c r="H326">
        <v>2</v>
      </c>
      <c r="I326">
        <v>365217</v>
      </c>
      <c r="J326">
        <v>36693</v>
      </c>
      <c r="K326">
        <v>776522</v>
      </c>
      <c r="L326">
        <v>203117</v>
      </c>
      <c r="M326">
        <v>321</v>
      </c>
      <c r="N326">
        <v>1871</v>
      </c>
      <c r="O326">
        <v>2192</v>
      </c>
    </row>
    <row r="327" spans="1:15" hidden="1" x14ac:dyDescent="0.25">
      <c r="A327" s="1">
        <v>40625</v>
      </c>
      <c r="B327">
        <v>2</v>
      </c>
      <c r="C327">
        <v>0</v>
      </c>
      <c r="D327">
        <v>3</v>
      </c>
      <c r="E327">
        <v>0</v>
      </c>
      <c r="F327">
        <v>3</v>
      </c>
      <c r="G327">
        <v>1</v>
      </c>
      <c r="H327">
        <v>2</v>
      </c>
      <c r="I327">
        <v>346957</v>
      </c>
      <c r="J327">
        <v>337939</v>
      </c>
      <c r="K327">
        <v>839565</v>
      </c>
      <c r="L327">
        <v>234261</v>
      </c>
      <c r="M327">
        <v>203</v>
      </c>
      <c r="N327">
        <v>1918</v>
      </c>
      <c r="O327">
        <v>2121</v>
      </c>
    </row>
    <row r="328" spans="1:15" hidden="1" x14ac:dyDescent="0.25">
      <c r="A328" s="1">
        <v>40632</v>
      </c>
      <c r="B328">
        <v>2</v>
      </c>
      <c r="C328">
        <v>0</v>
      </c>
      <c r="D328">
        <v>3</v>
      </c>
      <c r="E328">
        <v>0</v>
      </c>
      <c r="F328">
        <v>3</v>
      </c>
      <c r="G328">
        <v>1</v>
      </c>
      <c r="H328">
        <v>2</v>
      </c>
      <c r="I328">
        <v>3</v>
      </c>
      <c r="J328">
        <v>29735</v>
      </c>
      <c r="K328">
        <v>646667</v>
      </c>
      <c r="L328">
        <v>172888</v>
      </c>
      <c r="M328">
        <v>168</v>
      </c>
      <c r="N328">
        <v>1368</v>
      </c>
      <c r="O328">
        <v>1536</v>
      </c>
    </row>
    <row r="329" spans="1:15" hidden="1" x14ac:dyDescent="0.25">
      <c r="A329" s="1">
        <v>40639</v>
      </c>
      <c r="B329">
        <v>2</v>
      </c>
      <c r="C329">
        <v>0</v>
      </c>
      <c r="D329">
        <v>4</v>
      </c>
      <c r="E329">
        <v>0</v>
      </c>
      <c r="F329">
        <v>3</v>
      </c>
      <c r="G329">
        <v>1</v>
      </c>
      <c r="H329">
        <v>1</v>
      </c>
      <c r="I329">
        <v>390833</v>
      </c>
      <c r="J329">
        <v>387608</v>
      </c>
      <c r="K329">
        <v>470833</v>
      </c>
      <c r="L329">
        <v>263063</v>
      </c>
      <c r="M329">
        <v>413</v>
      </c>
      <c r="N329">
        <v>2395</v>
      </c>
      <c r="O329">
        <v>2808</v>
      </c>
    </row>
    <row r="330" spans="1:15" hidden="1" x14ac:dyDescent="0.25">
      <c r="A330" s="1">
        <v>40646</v>
      </c>
      <c r="B330">
        <v>2</v>
      </c>
      <c r="C330">
        <v>0</v>
      </c>
      <c r="D330">
        <v>4</v>
      </c>
      <c r="E330">
        <v>0</v>
      </c>
      <c r="F330">
        <v>3</v>
      </c>
      <c r="G330">
        <v>1</v>
      </c>
      <c r="H330">
        <v>2</v>
      </c>
      <c r="I330">
        <v>4125</v>
      </c>
      <c r="J330">
        <v>417283</v>
      </c>
      <c r="K330">
        <v>819167</v>
      </c>
      <c r="L330">
        <v>250617</v>
      </c>
      <c r="M330">
        <v>209</v>
      </c>
      <c r="N330">
        <v>1953</v>
      </c>
      <c r="O330">
        <v>2162</v>
      </c>
    </row>
    <row r="331" spans="1:15" hidden="1" x14ac:dyDescent="0.25">
      <c r="A331" s="1">
        <v>40653</v>
      </c>
      <c r="B331">
        <v>2</v>
      </c>
      <c r="C331">
        <v>0</v>
      </c>
      <c r="D331">
        <v>4</v>
      </c>
      <c r="E331">
        <v>0</v>
      </c>
      <c r="F331">
        <v>3</v>
      </c>
      <c r="G331">
        <v>1</v>
      </c>
      <c r="H331">
        <v>1</v>
      </c>
      <c r="I331">
        <v>595</v>
      </c>
      <c r="J331">
        <v>564392</v>
      </c>
      <c r="K331">
        <v>614167</v>
      </c>
      <c r="L331">
        <v>241925</v>
      </c>
      <c r="M331">
        <v>613</v>
      </c>
      <c r="N331">
        <v>3331</v>
      </c>
      <c r="O331">
        <v>3944</v>
      </c>
    </row>
    <row r="332" spans="1:15" hidden="1" x14ac:dyDescent="0.25">
      <c r="A332" s="1">
        <v>40660</v>
      </c>
      <c r="B332">
        <v>2</v>
      </c>
      <c r="C332">
        <v>0</v>
      </c>
      <c r="D332">
        <v>4</v>
      </c>
      <c r="E332">
        <v>0</v>
      </c>
      <c r="F332">
        <v>3</v>
      </c>
      <c r="G332">
        <v>1</v>
      </c>
      <c r="H332">
        <v>2</v>
      </c>
      <c r="I332">
        <v>62</v>
      </c>
      <c r="J332">
        <v>575142</v>
      </c>
      <c r="K332">
        <v>835417</v>
      </c>
      <c r="L332">
        <v>3122</v>
      </c>
      <c r="M332">
        <v>547</v>
      </c>
      <c r="N332">
        <v>3325</v>
      </c>
      <c r="O332">
        <v>3872</v>
      </c>
    </row>
    <row r="333" spans="1:15" hidden="1" x14ac:dyDescent="0.25">
      <c r="A333" s="1">
        <v>40667</v>
      </c>
      <c r="B333">
        <v>2</v>
      </c>
      <c r="C333">
        <v>0</v>
      </c>
      <c r="D333">
        <v>5</v>
      </c>
      <c r="E333">
        <v>0</v>
      </c>
      <c r="F333">
        <v>3</v>
      </c>
      <c r="G333">
        <v>1</v>
      </c>
      <c r="H333">
        <v>2</v>
      </c>
      <c r="I333">
        <v>414167</v>
      </c>
      <c r="J333">
        <v>40465</v>
      </c>
      <c r="K333">
        <v>737083</v>
      </c>
      <c r="L333">
        <v>328996</v>
      </c>
      <c r="M333">
        <v>255</v>
      </c>
      <c r="N333">
        <v>2378</v>
      </c>
      <c r="O333">
        <v>2633</v>
      </c>
    </row>
    <row r="334" spans="1:15" hidden="1" x14ac:dyDescent="0.25">
      <c r="A334" s="1">
        <v>40674</v>
      </c>
      <c r="B334">
        <v>2</v>
      </c>
      <c r="C334">
        <v>0</v>
      </c>
      <c r="D334">
        <v>5</v>
      </c>
      <c r="E334">
        <v>0</v>
      </c>
      <c r="F334">
        <v>3</v>
      </c>
      <c r="G334">
        <v>1</v>
      </c>
      <c r="H334">
        <v>1</v>
      </c>
      <c r="I334">
        <v>5425</v>
      </c>
      <c r="J334">
        <v>5284</v>
      </c>
      <c r="K334">
        <v>632917</v>
      </c>
      <c r="L334">
        <v>120642</v>
      </c>
      <c r="M334">
        <v>550</v>
      </c>
      <c r="N334">
        <v>3632</v>
      </c>
      <c r="O334">
        <v>4182</v>
      </c>
    </row>
    <row r="335" spans="1:15" hidden="1" x14ac:dyDescent="0.25">
      <c r="A335" s="1">
        <v>40681</v>
      </c>
      <c r="B335">
        <v>2</v>
      </c>
      <c r="C335">
        <v>0</v>
      </c>
      <c r="D335">
        <v>5</v>
      </c>
      <c r="E335">
        <v>0</v>
      </c>
      <c r="F335">
        <v>3</v>
      </c>
      <c r="G335">
        <v>1</v>
      </c>
      <c r="H335">
        <v>2</v>
      </c>
      <c r="I335">
        <v>55</v>
      </c>
      <c r="J335">
        <v>527158</v>
      </c>
      <c r="K335">
        <v>87</v>
      </c>
      <c r="L335">
        <v>201492</v>
      </c>
      <c r="M335">
        <v>536</v>
      </c>
      <c r="N335">
        <v>3319</v>
      </c>
      <c r="O335">
        <v>3855</v>
      </c>
    </row>
    <row r="336" spans="1:15" hidden="1" x14ac:dyDescent="0.25">
      <c r="A336" s="1">
        <v>40688</v>
      </c>
      <c r="B336">
        <v>2</v>
      </c>
      <c r="C336">
        <v>0</v>
      </c>
      <c r="D336">
        <v>5</v>
      </c>
      <c r="E336">
        <v>0</v>
      </c>
      <c r="F336">
        <v>3</v>
      </c>
      <c r="G336">
        <v>1</v>
      </c>
      <c r="H336">
        <v>1</v>
      </c>
      <c r="I336">
        <v>660833</v>
      </c>
      <c r="J336">
        <v>615542</v>
      </c>
      <c r="K336">
        <v>69625</v>
      </c>
      <c r="L336">
        <v>154233</v>
      </c>
      <c r="M336">
        <v>740</v>
      </c>
      <c r="N336">
        <v>4238</v>
      </c>
      <c r="O336">
        <v>4978</v>
      </c>
    </row>
    <row r="337" spans="1:15" hidden="1" x14ac:dyDescent="0.25">
      <c r="A337" s="1">
        <v>40695</v>
      </c>
      <c r="B337">
        <v>2</v>
      </c>
      <c r="C337">
        <v>0</v>
      </c>
      <c r="D337">
        <v>6</v>
      </c>
      <c r="E337">
        <v>0</v>
      </c>
      <c r="F337">
        <v>3</v>
      </c>
      <c r="G337">
        <v>1</v>
      </c>
      <c r="H337">
        <v>2</v>
      </c>
      <c r="I337">
        <v>764167</v>
      </c>
      <c r="J337">
        <v>720967</v>
      </c>
      <c r="K337">
        <v>677083</v>
      </c>
      <c r="L337">
        <v>207092</v>
      </c>
      <c r="M337">
        <v>513</v>
      </c>
      <c r="N337">
        <v>3461</v>
      </c>
      <c r="O337">
        <v>3974</v>
      </c>
    </row>
    <row r="338" spans="1:15" hidden="1" x14ac:dyDescent="0.25">
      <c r="A338" s="1">
        <v>40702</v>
      </c>
      <c r="B338">
        <v>2</v>
      </c>
      <c r="C338">
        <v>0</v>
      </c>
      <c r="D338">
        <v>6</v>
      </c>
      <c r="E338">
        <v>0</v>
      </c>
      <c r="F338">
        <v>3</v>
      </c>
      <c r="G338">
        <v>1</v>
      </c>
      <c r="H338">
        <v>1</v>
      </c>
      <c r="I338">
        <v>775833</v>
      </c>
      <c r="J338">
        <v>727279</v>
      </c>
      <c r="K338">
        <v>622083</v>
      </c>
      <c r="L338">
        <v>136817</v>
      </c>
      <c r="M338">
        <v>676</v>
      </c>
      <c r="N338">
        <v>3725</v>
      </c>
      <c r="O338">
        <v>4401</v>
      </c>
    </row>
    <row r="339" spans="1:15" hidden="1" x14ac:dyDescent="0.25">
      <c r="A339" s="1">
        <v>40709</v>
      </c>
      <c r="B339">
        <v>2</v>
      </c>
      <c r="C339">
        <v>0</v>
      </c>
      <c r="D339">
        <v>6</v>
      </c>
      <c r="E339">
        <v>0</v>
      </c>
      <c r="F339">
        <v>3</v>
      </c>
      <c r="G339">
        <v>1</v>
      </c>
      <c r="H339">
        <v>1</v>
      </c>
      <c r="I339">
        <v>626667</v>
      </c>
      <c r="J339">
        <v>587754</v>
      </c>
      <c r="K339">
        <v>471667</v>
      </c>
      <c r="L339">
        <v>167912</v>
      </c>
      <c r="M339">
        <v>769</v>
      </c>
      <c r="N339">
        <v>4411</v>
      </c>
      <c r="O339">
        <v>5180</v>
      </c>
    </row>
    <row r="340" spans="1:15" hidden="1" x14ac:dyDescent="0.25">
      <c r="A340" s="1">
        <v>40716</v>
      </c>
      <c r="B340">
        <v>3</v>
      </c>
      <c r="C340">
        <v>0</v>
      </c>
      <c r="D340">
        <v>6</v>
      </c>
      <c r="E340">
        <v>0</v>
      </c>
      <c r="F340">
        <v>3</v>
      </c>
      <c r="G340">
        <v>1</v>
      </c>
      <c r="H340">
        <v>1</v>
      </c>
      <c r="I340">
        <v>733333</v>
      </c>
      <c r="J340">
        <v>693829</v>
      </c>
      <c r="K340">
        <v>7075</v>
      </c>
      <c r="L340">
        <v>172262</v>
      </c>
      <c r="M340">
        <v>661</v>
      </c>
      <c r="N340">
        <v>3846</v>
      </c>
      <c r="O340">
        <v>4507</v>
      </c>
    </row>
    <row r="341" spans="1:15" hidden="1" x14ac:dyDescent="0.25">
      <c r="A341" s="1">
        <v>40723</v>
      </c>
      <c r="B341">
        <v>3</v>
      </c>
      <c r="C341">
        <v>0</v>
      </c>
      <c r="D341">
        <v>6</v>
      </c>
      <c r="E341">
        <v>0</v>
      </c>
      <c r="F341">
        <v>3</v>
      </c>
      <c r="G341">
        <v>1</v>
      </c>
      <c r="H341">
        <v>1</v>
      </c>
      <c r="I341">
        <v>728333</v>
      </c>
      <c r="J341">
        <v>654688</v>
      </c>
      <c r="K341">
        <v>497917</v>
      </c>
      <c r="L341">
        <v>261821</v>
      </c>
      <c r="M341">
        <v>848</v>
      </c>
      <c r="N341">
        <v>4377</v>
      </c>
      <c r="O341">
        <v>5225</v>
      </c>
    </row>
    <row r="342" spans="1:15" hidden="1" x14ac:dyDescent="0.25">
      <c r="A342" s="1">
        <v>40730</v>
      </c>
      <c r="B342">
        <v>3</v>
      </c>
      <c r="C342">
        <v>0</v>
      </c>
      <c r="D342">
        <v>7</v>
      </c>
      <c r="E342">
        <v>0</v>
      </c>
      <c r="F342">
        <v>3</v>
      </c>
      <c r="G342">
        <v>1</v>
      </c>
      <c r="H342">
        <v>1</v>
      </c>
      <c r="I342">
        <v>72</v>
      </c>
      <c r="J342">
        <v>685633</v>
      </c>
      <c r="K342">
        <v>743333</v>
      </c>
      <c r="L342">
        <v>149883</v>
      </c>
      <c r="M342">
        <v>784</v>
      </c>
      <c r="N342">
        <v>3845</v>
      </c>
      <c r="O342">
        <v>4629</v>
      </c>
    </row>
    <row r="343" spans="1:15" hidden="1" x14ac:dyDescent="0.25">
      <c r="A343" s="1">
        <v>40737</v>
      </c>
      <c r="B343">
        <v>3</v>
      </c>
      <c r="C343">
        <v>0</v>
      </c>
      <c r="D343">
        <v>7</v>
      </c>
      <c r="E343">
        <v>0</v>
      </c>
      <c r="F343">
        <v>3</v>
      </c>
      <c r="G343">
        <v>1</v>
      </c>
      <c r="H343">
        <v>1</v>
      </c>
      <c r="I343">
        <v>746667</v>
      </c>
      <c r="J343">
        <v>689404</v>
      </c>
      <c r="K343">
        <v>631667</v>
      </c>
      <c r="L343">
        <v>146133</v>
      </c>
      <c r="M343">
        <v>748</v>
      </c>
      <c r="N343">
        <v>3594</v>
      </c>
      <c r="O343">
        <v>4342</v>
      </c>
    </row>
    <row r="344" spans="1:15" hidden="1" x14ac:dyDescent="0.25">
      <c r="A344" s="1">
        <v>40744</v>
      </c>
      <c r="B344">
        <v>3</v>
      </c>
      <c r="C344">
        <v>0</v>
      </c>
      <c r="D344">
        <v>7</v>
      </c>
      <c r="E344">
        <v>0</v>
      </c>
      <c r="F344">
        <v>3</v>
      </c>
      <c r="G344">
        <v>1</v>
      </c>
      <c r="H344">
        <v>1</v>
      </c>
      <c r="I344">
        <v>768333</v>
      </c>
      <c r="J344">
        <v>74685</v>
      </c>
      <c r="K344">
        <v>707083</v>
      </c>
      <c r="L344">
        <v>113817</v>
      </c>
      <c r="M344">
        <v>644</v>
      </c>
      <c r="N344">
        <v>3688</v>
      </c>
      <c r="O344">
        <v>4332</v>
      </c>
    </row>
    <row r="345" spans="1:15" hidden="1" x14ac:dyDescent="0.25">
      <c r="A345" s="1">
        <v>40751</v>
      </c>
      <c r="B345">
        <v>3</v>
      </c>
      <c r="C345">
        <v>0</v>
      </c>
      <c r="D345">
        <v>7</v>
      </c>
      <c r="E345">
        <v>0</v>
      </c>
      <c r="F345">
        <v>3</v>
      </c>
      <c r="G345">
        <v>1</v>
      </c>
      <c r="H345">
        <v>1</v>
      </c>
      <c r="I345">
        <v>775</v>
      </c>
      <c r="J345">
        <v>690667</v>
      </c>
      <c r="K345">
        <v>402917</v>
      </c>
      <c r="L345">
        <v>183463</v>
      </c>
      <c r="M345">
        <v>755</v>
      </c>
      <c r="N345">
        <v>3901</v>
      </c>
      <c r="O345">
        <v>4656</v>
      </c>
    </row>
    <row r="346" spans="1:15" hidden="1" x14ac:dyDescent="0.25">
      <c r="A346" s="1">
        <v>40758</v>
      </c>
      <c r="B346">
        <v>3</v>
      </c>
      <c r="C346">
        <v>0</v>
      </c>
      <c r="D346">
        <v>8</v>
      </c>
      <c r="E346">
        <v>0</v>
      </c>
      <c r="F346">
        <v>3</v>
      </c>
      <c r="G346">
        <v>1</v>
      </c>
      <c r="H346">
        <v>2</v>
      </c>
      <c r="I346">
        <v>731667</v>
      </c>
      <c r="J346">
        <v>679937</v>
      </c>
      <c r="K346">
        <v>6575</v>
      </c>
      <c r="L346">
        <v>135583</v>
      </c>
      <c r="M346">
        <v>467</v>
      </c>
      <c r="N346">
        <v>3107</v>
      </c>
      <c r="O346">
        <v>3574</v>
      </c>
    </row>
    <row r="347" spans="1:15" hidden="1" x14ac:dyDescent="0.25">
      <c r="A347" s="1">
        <v>40765</v>
      </c>
      <c r="B347">
        <v>3</v>
      </c>
      <c r="C347">
        <v>0</v>
      </c>
      <c r="D347">
        <v>8</v>
      </c>
      <c r="E347">
        <v>0</v>
      </c>
      <c r="F347">
        <v>3</v>
      </c>
      <c r="G347">
        <v>1</v>
      </c>
      <c r="H347">
        <v>1</v>
      </c>
      <c r="I347">
        <v>766667</v>
      </c>
      <c r="J347">
        <v>684983</v>
      </c>
      <c r="K347">
        <v>424167</v>
      </c>
      <c r="L347">
        <v>200258</v>
      </c>
      <c r="M347">
        <v>884</v>
      </c>
      <c r="N347">
        <v>3896</v>
      </c>
      <c r="O347">
        <v>4780</v>
      </c>
    </row>
    <row r="348" spans="1:15" hidden="1" x14ac:dyDescent="0.25">
      <c r="A348" s="1">
        <v>40772</v>
      </c>
      <c r="B348">
        <v>3</v>
      </c>
      <c r="C348">
        <v>0</v>
      </c>
      <c r="D348">
        <v>8</v>
      </c>
      <c r="E348">
        <v>0</v>
      </c>
      <c r="F348">
        <v>3</v>
      </c>
      <c r="G348">
        <v>1</v>
      </c>
      <c r="H348">
        <v>1</v>
      </c>
      <c r="I348">
        <v>723333</v>
      </c>
      <c r="J348">
        <v>666671</v>
      </c>
      <c r="K348">
        <v>575417</v>
      </c>
      <c r="L348">
        <v>143667</v>
      </c>
      <c r="M348">
        <v>668</v>
      </c>
      <c r="N348">
        <v>4026</v>
      </c>
      <c r="O348">
        <v>4694</v>
      </c>
    </row>
    <row r="349" spans="1:15" hidden="1" x14ac:dyDescent="0.25">
      <c r="A349" s="1">
        <v>40779</v>
      </c>
      <c r="B349">
        <v>3</v>
      </c>
      <c r="C349">
        <v>0</v>
      </c>
      <c r="D349">
        <v>8</v>
      </c>
      <c r="E349">
        <v>0</v>
      </c>
      <c r="F349">
        <v>3</v>
      </c>
      <c r="G349">
        <v>1</v>
      </c>
      <c r="H349">
        <v>1</v>
      </c>
      <c r="I349">
        <v>673333</v>
      </c>
      <c r="J349">
        <v>630692</v>
      </c>
      <c r="K349">
        <v>605</v>
      </c>
      <c r="L349">
        <v>253108</v>
      </c>
      <c r="M349">
        <v>949</v>
      </c>
      <c r="N349">
        <v>4181</v>
      </c>
      <c r="O349">
        <v>5130</v>
      </c>
    </row>
    <row r="350" spans="1:15" hidden="1" x14ac:dyDescent="0.25">
      <c r="A350" s="1">
        <v>40786</v>
      </c>
      <c r="B350">
        <v>3</v>
      </c>
      <c r="C350">
        <v>0</v>
      </c>
      <c r="D350">
        <v>8</v>
      </c>
      <c r="E350">
        <v>0</v>
      </c>
      <c r="F350">
        <v>3</v>
      </c>
      <c r="G350">
        <v>1</v>
      </c>
      <c r="H350">
        <v>1</v>
      </c>
      <c r="I350">
        <v>656667</v>
      </c>
      <c r="J350">
        <v>611121</v>
      </c>
      <c r="K350">
        <v>597917</v>
      </c>
      <c r="L350">
        <v>833333</v>
      </c>
      <c r="M350">
        <v>688</v>
      </c>
      <c r="N350">
        <v>4370</v>
      </c>
      <c r="O350">
        <v>5058</v>
      </c>
    </row>
    <row r="351" spans="1:15" hidden="1" x14ac:dyDescent="0.25">
      <c r="A351" s="1">
        <v>40793</v>
      </c>
      <c r="B351">
        <v>3</v>
      </c>
      <c r="C351">
        <v>0</v>
      </c>
      <c r="D351">
        <v>9</v>
      </c>
      <c r="E351">
        <v>0</v>
      </c>
      <c r="F351">
        <v>3</v>
      </c>
      <c r="G351">
        <v>1</v>
      </c>
      <c r="H351">
        <v>3</v>
      </c>
      <c r="I351">
        <v>599167</v>
      </c>
      <c r="J351">
        <v>544229</v>
      </c>
      <c r="K351">
        <v>917083</v>
      </c>
      <c r="L351">
        <v>970208</v>
      </c>
      <c r="M351">
        <v>118</v>
      </c>
      <c r="N351">
        <v>1878</v>
      </c>
      <c r="O351">
        <v>1996</v>
      </c>
    </row>
    <row r="352" spans="1:15" hidden="1" x14ac:dyDescent="0.25">
      <c r="A352" s="1">
        <v>40800</v>
      </c>
      <c r="B352">
        <v>3</v>
      </c>
      <c r="C352">
        <v>0</v>
      </c>
      <c r="D352">
        <v>9</v>
      </c>
      <c r="E352">
        <v>0</v>
      </c>
      <c r="F352">
        <v>3</v>
      </c>
      <c r="G352">
        <v>1</v>
      </c>
      <c r="H352">
        <v>1</v>
      </c>
      <c r="I352">
        <v>673333</v>
      </c>
      <c r="J352">
        <v>6269</v>
      </c>
      <c r="K352">
        <v>697083</v>
      </c>
      <c r="L352">
        <v>1673</v>
      </c>
      <c r="M352">
        <v>647</v>
      </c>
      <c r="N352">
        <v>4138</v>
      </c>
      <c r="O352">
        <v>4785</v>
      </c>
    </row>
    <row r="353" spans="1:15" hidden="1" x14ac:dyDescent="0.25">
      <c r="A353" s="1">
        <v>40807</v>
      </c>
      <c r="B353">
        <v>3</v>
      </c>
      <c r="C353">
        <v>0</v>
      </c>
      <c r="D353">
        <v>9</v>
      </c>
      <c r="E353">
        <v>0</v>
      </c>
      <c r="F353">
        <v>3</v>
      </c>
      <c r="G353">
        <v>1</v>
      </c>
      <c r="H353">
        <v>2</v>
      </c>
      <c r="I353">
        <v>595</v>
      </c>
      <c r="J353">
        <v>550533</v>
      </c>
      <c r="K353">
        <v>9</v>
      </c>
      <c r="L353">
        <v>964042</v>
      </c>
      <c r="M353">
        <v>539</v>
      </c>
      <c r="N353">
        <v>3813</v>
      </c>
      <c r="O353">
        <v>4352</v>
      </c>
    </row>
    <row r="354" spans="1:15" hidden="1" x14ac:dyDescent="0.25">
      <c r="A354" s="1">
        <v>40814</v>
      </c>
      <c r="B354">
        <v>4</v>
      </c>
      <c r="C354">
        <v>0</v>
      </c>
      <c r="D354">
        <v>9</v>
      </c>
      <c r="E354">
        <v>0</v>
      </c>
      <c r="F354">
        <v>3</v>
      </c>
      <c r="G354">
        <v>1</v>
      </c>
      <c r="H354">
        <v>2</v>
      </c>
      <c r="I354">
        <v>635</v>
      </c>
      <c r="J354">
        <v>575158</v>
      </c>
      <c r="K354">
        <v>84875</v>
      </c>
      <c r="L354">
        <v>148629</v>
      </c>
      <c r="M354">
        <v>480</v>
      </c>
      <c r="N354">
        <v>3427</v>
      </c>
      <c r="O354">
        <v>3907</v>
      </c>
    </row>
    <row r="355" spans="1:15" hidden="1" x14ac:dyDescent="0.25">
      <c r="A355" s="1">
        <v>40821</v>
      </c>
      <c r="B355">
        <v>4</v>
      </c>
      <c r="C355">
        <v>0</v>
      </c>
      <c r="D355">
        <v>10</v>
      </c>
      <c r="E355">
        <v>0</v>
      </c>
      <c r="F355">
        <v>3</v>
      </c>
      <c r="G355">
        <v>1</v>
      </c>
      <c r="H355">
        <v>1</v>
      </c>
      <c r="I355">
        <v>538333</v>
      </c>
      <c r="J355">
        <v>527138</v>
      </c>
      <c r="K355">
        <v>647917</v>
      </c>
      <c r="L355">
        <v>17725</v>
      </c>
      <c r="M355">
        <v>559</v>
      </c>
      <c r="N355">
        <v>4267</v>
      </c>
      <c r="O355">
        <v>4826</v>
      </c>
    </row>
    <row r="356" spans="1:15" hidden="1" x14ac:dyDescent="0.25">
      <c r="A356" s="1">
        <v>40828</v>
      </c>
      <c r="B356">
        <v>4</v>
      </c>
      <c r="C356">
        <v>0</v>
      </c>
      <c r="D356">
        <v>10</v>
      </c>
      <c r="E356">
        <v>0</v>
      </c>
      <c r="F356">
        <v>3</v>
      </c>
      <c r="G356">
        <v>1</v>
      </c>
      <c r="H356">
        <v>3</v>
      </c>
      <c r="I356">
        <v>543333</v>
      </c>
      <c r="J356">
        <v>517717</v>
      </c>
      <c r="K356">
        <v>90625</v>
      </c>
      <c r="L356">
        <v>24815</v>
      </c>
      <c r="M356">
        <v>217</v>
      </c>
      <c r="N356">
        <v>2199</v>
      </c>
      <c r="O356">
        <v>2416</v>
      </c>
    </row>
    <row r="357" spans="1:15" hidden="1" x14ac:dyDescent="0.25">
      <c r="A357" s="1">
        <v>40835</v>
      </c>
      <c r="B357">
        <v>4</v>
      </c>
      <c r="C357">
        <v>0</v>
      </c>
      <c r="D357">
        <v>10</v>
      </c>
      <c r="E357">
        <v>0</v>
      </c>
      <c r="F357">
        <v>3</v>
      </c>
      <c r="G357">
        <v>1</v>
      </c>
      <c r="H357">
        <v>3</v>
      </c>
      <c r="I357">
        <v>541739</v>
      </c>
      <c r="J357">
        <v>513848</v>
      </c>
      <c r="K357">
        <v>895217</v>
      </c>
      <c r="L357">
        <v>243339</v>
      </c>
      <c r="M357">
        <v>254</v>
      </c>
      <c r="N357">
        <v>2170</v>
      </c>
      <c r="O357">
        <v>2424</v>
      </c>
    </row>
    <row r="358" spans="1:15" hidden="1" x14ac:dyDescent="0.25">
      <c r="A358" s="1">
        <v>40842</v>
      </c>
      <c r="B358">
        <v>4</v>
      </c>
      <c r="C358">
        <v>0</v>
      </c>
      <c r="D358">
        <v>10</v>
      </c>
      <c r="E358">
        <v>0</v>
      </c>
      <c r="F358">
        <v>3</v>
      </c>
      <c r="G358">
        <v>1</v>
      </c>
      <c r="H358">
        <v>2</v>
      </c>
      <c r="I358">
        <v>484167</v>
      </c>
      <c r="J358">
        <v>472846</v>
      </c>
      <c r="K358">
        <v>720417</v>
      </c>
      <c r="L358">
        <v>148642</v>
      </c>
      <c r="M358">
        <v>404</v>
      </c>
      <c r="N358">
        <v>3490</v>
      </c>
      <c r="O358">
        <v>3894</v>
      </c>
    </row>
    <row r="359" spans="1:15" hidden="1" x14ac:dyDescent="0.25">
      <c r="A359" s="1">
        <v>40849</v>
      </c>
      <c r="B359">
        <v>4</v>
      </c>
      <c r="C359">
        <v>0</v>
      </c>
      <c r="D359">
        <v>11</v>
      </c>
      <c r="E359">
        <v>0</v>
      </c>
      <c r="F359">
        <v>3</v>
      </c>
      <c r="G359">
        <v>1</v>
      </c>
      <c r="H359">
        <v>1</v>
      </c>
      <c r="I359">
        <v>3775</v>
      </c>
      <c r="J359">
        <v>390133</v>
      </c>
      <c r="K359">
        <v>71875</v>
      </c>
      <c r="L359">
        <v>820917</v>
      </c>
      <c r="M359">
        <v>370</v>
      </c>
      <c r="N359">
        <v>3816</v>
      </c>
      <c r="O359">
        <v>4186</v>
      </c>
    </row>
    <row r="360" spans="1:15" hidden="1" x14ac:dyDescent="0.25">
      <c r="A360" s="1">
        <v>40856</v>
      </c>
      <c r="B360">
        <v>4</v>
      </c>
      <c r="C360">
        <v>0</v>
      </c>
      <c r="D360">
        <v>11</v>
      </c>
      <c r="E360">
        <v>0</v>
      </c>
      <c r="F360">
        <v>3</v>
      </c>
      <c r="G360">
        <v>1</v>
      </c>
      <c r="H360">
        <v>1</v>
      </c>
      <c r="I360">
        <v>4</v>
      </c>
      <c r="J360">
        <v>409079</v>
      </c>
      <c r="K360">
        <v>758333</v>
      </c>
      <c r="L360">
        <v>621958</v>
      </c>
      <c r="M360">
        <v>305</v>
      </c>
      <c r="N360">
        <v>3804</v>
      </c>
      <c r="O360">
        <v>4109</v>
      </c>
    </row>
    <row r="361" spans="1:15" hidden="1" x14ac:dyDescent="0.25">
      <c r="A361" s="1">
        <v>40863</v>
      </c>
      <c r="B361">
        <v>4</v>
      </c>
      <c r="C361">
        <v>0</v>
      </c>
      <c r="D361">
        <v>11</v>
      </c>
      <c r="E361">
        <v>0</v>
      </c>
      <c r="F361">
        <v>3</v>
      </c>
      <c r="G361">
        <v>1</v>
      </c>
      <c r="H361">
        <v>3</v>
      </c>
      <c r="I361">
        <v>456667</v>
      </c>
      <c r="J361">
        <v>451988</v>
      </c>
      <c r="K361">
        <v>93</v>
      </c>
      <c r="L361">
        <v>136829</v>
      </c>
      <c r="M361">
        <v>145</v>
      </c>
      <c r="N361">
        <v>1672</v>
      </c>
      <c r="O361">
        <v>1817</v>
      </c>
    </row>
    <row r="362" spans="1:15" hidden="1" x14ac:dyDescent="0.25">
      <c r="A362" s="1">
        <v>40870</v>
      </c>
      <c r="B362">
        <v>4</v>
      </c>
      <c r="C362">
        <v>0</v>
      </c>
      <c r="D362">
        <v>11</v>
      </c>
      <c r="E362">
        <v>0</v>
      </c>
      <c r="F362">
        <v>3</v>
      </c>
      <c r="G362">
        <v>1</v>
      </c>
      <c r="H362">
        <v>2</v>
      </c>
      <c r="I362">
        <v>440833</v>
      </c>
      <c r="J362">
        <v>430537</v>
      </c>
      <c r="K362">
        <v>757917</v>
      </c>
      <c r="L362">
        <v>335825</v>
      </c>
      <c r="M362">
        <v>112</v>
      </c>
      <c r="N362">
        <v>2454</v>
      </c>
      <c r="O362">
        <v>2566</v>
      </c>
    </row>
    <row r="363" spans="1:15" hidden="1" x14ac:dyDescent="0.25">
      <c r="A363" s="1">
        <v>40877</v>
      </c>
      <c r="B363">
        <v>4</v>
      </c>
      <c r="C363">
        <v>0</v>
      </c>
      <c r="D363">
        <v>11</v>
      </c>
      <c r="E363">
        <v>0</v>
      </c>
      <c r="F363">
        <v>3</v>
      </c>
      <c r="G363">
        <v>1</v>
      </c>
      <c r="H363">
        <v>1</v>
      </c>
      <c r="I363">
        <v>325</v>
      </c>
      <c r="J363">
        <v>311221</v>
      </c>
      <c r="K363">
        <v>613333</v>
      </c>
      <c r="L363">
        <v>271158</v>
      </c>
      <c r="M363">
        <v>188</v>
      </c>
      <c r="N363">
        <v>3425</v>
      </c>
      <c r="O363">
        <v>3613</v>
      </c>
    </row>
    <row r="364" spans="1:15" hidden="1" x14ac:dyDescent="0.25">
      <c r="A364" s="1">
        <v>40884</v>
      </c>
      <c r="B364">
        <v>4</v>
      </c>
      <c r="C364">
        <v>0</v>
      </c>
      <c r="D364">
        <v>12</v>
      </c>
      <c r="E364">
        <v>0</v>
      </c>
      <c r="F364">
        <v>3</v>
      </c>
      <c r="G364">
        <v>1</v>
      </c>
      <c r="H364">
        <v>3</v>
      </c>
      <c r="I364">
        <v>41</v>
      </c>
      <c r="J364">
        <v>400246</v>
      </c>
      <c r="K364">
        <v>970417</v>
      </c>
      <c r="L364">
        <v>266175</v>
      </c>
      <c r="M364">
        <v>50</v>
      </c>
      <c r="N364">
        <v>655</v>
      </c>
      <c r="O364">
        <v>705</v>
      </c>
    </row>
    <row r="365" spans="1:15" hidden="1" x14ac:dyDescent="0.25">
      <c r="A365" s="1">
        <v>40891</v>
      </c>
      <c r="B365">
        <v>4</v>
      </c>
      <c r="C365">
        <v>0</v>
      </c>
      <c r="D365">
        <v>12</v>
      </c>
      <c r="E365">
        <v>0</v>
      </c>
      <c r="F365">
        <v>3</v>
      </c>
      <c r="G365">
        <v>1</v>
      </c>
      <c r="H365">
        <v>2</v>
      </c>
      <c r="I365">
        <v>3175</v>
      </c>
      <c r="J365">
        <v>338362</v>
      </c>
      <c r="K365">
        <v>66375</v>
      </c>
      <c r="L365">
        <v>609583</v>
      </c>
      <c r="M365">
        <v>178</v>
      </c>
      <c r="N365">
        <v>3562</v>
      </c>
      <c r="O365">
        <v>3740</v>
      </c>
    </row>
    <row r="366" spans="1:15" hidden="1" x14ac:dyDescent="0.25">
      <c r="A366" s="1">
        <v>40898</v>
      </c>
      <c r="B366">
        <v>1</v>
      </c>
      <c r="C366">
        <v>0</v>
      </c>
      <c r="D366">
        <v>12</v>
      </c>
      <c r="E366">
        <v>0</v>
      </c>
      <c r="F366">
        <v>3</v>
      </c>
      <c r="G366">
        <v>1</v>
      </c>
      <c r="H366">
        <v>2</v>
      </c>
      <c r="I366">
        <v>428333</v>
      </c>
      <c r="J366">
        <v>428017</v>
      </c>
      <c r="K366">
        <v>858333</v>
      </c>
      <c r="L366">
        <v>2214</v>
      </c>
      <c r="M366">
        <v>107</v>
      </c>
      <c r="N366">
        <v>2553</v>
      </c>
      <c r="O366">
        <v>2660</v>
      </c>
    </row>
    <row r="367" spans="1:15" hidden="1" x14ac:dyDescent="0.25">
      <c r="A367" s="1">
        <v>40905</v>
      </c>
      <c r="B367">
        <v>1</v>
      </c>
      <c r="C367">
        <v>0</v>
      </c>
      <c r="D367">
        <v>12</v>
      </c>
      <c r="E367">
        <v>0</v>
      </c>
      <c r="F367">
        <v>3</v>
      </c>
      <c r="G367">
        <v>1</v>
      </c>
      <c r="H367">
        <v>1</v>
      </c>
      <c r="I367">
        <v>29913</v>
      </c>
      <c r="J367">
        <v>279974</v>
      </c>
      <c r="K367">
        <v>503913</v>
      </c>
      <c r="L367">
        <v>293961</v>
      </c>
      <c r="M367">
        <v>255</v>
      </c>
      <c r="N367">
        <v>2047</v>
      </c>
      <c r="O367">
        <v>2302</v>
      </c>
    </row>
    <row r="368" spans="1:15" hidden="1" x14ac:dyDescent="0.25">
      <c r="A368" s="1">
        <v>40912</v>
      </c>
      <c r="B368">
        <v>1</v>
      </c>
      <c r="C368">
        <v>1</v>
      </c>
      <c r="D368">
        <v>1</v>
      </c>
      <c r="E368">
        <v>0</v>
      </c>
      <c r="F368">
        <v>3</v>
      </c>
      <c r="G368">
        <v>1</v>
      </c>
      <c r="H368">
        <v>2</v>
      </c>
      <c r="I368">
        <v>1075</v>
      </c>
      <c r="J368">
        <v>119337</v>
      </c>
      <c r="K368">
        <v>414583</v>
      </c>
      <c r="L368">
        <v>1847</v>
      </c>
      <c r="M368">
        <v>95</v>
      </c>
      <c r="N368">
        <v>2273</v>
      </c>
      <c r="O368">
        <v>2368</v>
      </c>
    </row>
    <row r="369" spans="1:15" hidden="1" x14ac:dyDescent="0.25">
      <c r="A369" s="1">
        <v>40919</v>
      </c>
      <c r="B369">
        <v>1</v>
      </c>
      <c r="C369">
        <v>1</v>
      </c>
      <c r="D369">
        <v>1</v>
      </c>
      <c r="E369">
        <v>0</v>
      </c>
      <c r="F369">
        <v>3</v>
      </c>
      <c r="G369">
        <v>1</v>
      </c>
      <c r="H369">
        <v>2</v>
      </c>
      <c r="I369">
        <v>274167</v>
      </c>
      <c r="J369">
        <v>282821</v>
      </c>
      <c r="K369">
        <v>8475</v>
      </c>
      <c r="L369">
        <v>131221</v>
      </c>
      <c r="M369">
        <v>92</v>
      </c>
      <c r="N369">
        <v>2085</v>
      </c>
      <c r="O369">
        <v>2177</v>
      </c>
    </row>
    <row r="370" spans="1:15" hidden="1" x14ac:dyDescent="0.25">
      <c r="A370" s="1">
        <v>40926</v>
      </c>
      <c r="B370">
        <v>1</v>
      </c>
      <c r="C370">
        <v>1</v>
      </c>
      <c r="D370">
        <v>1</v>
      </c>
      <c r="E370">
        <v>0</v>
      </c>
      <c r="F370">
        <v>3</v>
      </c>
      <c r="G370">
        <v>1</v>
      </c>
      <c r="H370">
        <v>1</v>
      </c>
      <c r="I370">
        <v>303333</v>
      </c>
      <c r="J370">
        <v>275254</v>
      </c>
      <c r="K370">
        <v>443333</v>
      </c>
      <c r="L370">
        <v>415429</v>
      </c>
      <c r="M370">
        <v>109</v>
      </c>
      <c r="N370">
        <v>3267</v>
      </c>
      <c r="O370">
        <v>3376</v>
      </c>
    </row>
    <row r="371" spans="1:15" hidden="1" x14ac:dyDescent="0.25">
      <c r="A371" s="1">
        <v>40933</v>
      </c>
      <c r="B371">
        <v>1</v>
      </c>
      <c r="C371">
        <v>1</v>
      </c>
      <c r="D371">
        <v>1</v>
      </c>
      <c r="E371">
        <v>0</v>
      </c>
      <c r="F371">
        <v>3</v>
      </c>
      <c r="G371">
        <v>1</v>
      </c>
      <c r="H371">
        <v>1</v>
      </c>
      <c r="I371">
        <v>294167</v>
      </c>
      <c r="J371">
        <v>294821</v>
      </c>
      <c r="K371">
        <v>64375</v>
      </c>
      <c r="L371">
        <v>161071</v>
      </c>
      <c r="M371">
        <v>467</v>
      </c>
      <c r="N371">
        <v>3803</v>
      </c>
      <c r="O371">
        <v>4270</v>
      </c>
    </row>
    <row r="372" spans="1:15" hidden="1" x14ac:dyDescent="0.25">
      <c r="A372" s="1">
        <v>40940</v>
      </c>
      <c r="B372">
        <v>1</v>
      </c>
      <c r="C372">
        <v>1</v>
      </c>
      <c r="D372">
        <v>2</v>
      </c>
      <c r="E372">
        <v>0</v>
      </c>
      <c r="F372">
        <v>3</v>
      </c>
      <c r="G372">
        <v>1</v>
      </c>
      <c r="H372">
        <v>1</v>
      </c>
      <c r="I372">
        <v>469167</v>
      </c>
      <c r="J372">
        <v>466538</v>
      </c>
      <c r="K372">
        <v>507917</v>
      </c>
      <c r="L372">
        <v>189067</v>
      </c>
      <c r="M372">
        <v>304</v>
      </c>
      <c r="N372">
        <v>4275</v>
      </c>
      <c r="O372">
        <v>4579</v>
      </c>
    </row>
    <row r="373" spans="1:15" hidden="1" x14ac:dyDescent="0.25">
      <c r="A373" s="1">
        <v>40947</v>
      </c>
      <c r="B373">
        <v>1</v>
      </c>
      <c r="C373">
        <v>1</v>
      </c>
      <c r="D373">
        <v>2</v>
      </c>
      <c r="E373">
        <v>0</v>
      </c>
      <c r="F373">
        <v>3</v>
      </c>
      <c r="G373">
        <v>1</v>
      </c>
      <c r="H373">
        <v>2</v>
      </c>
      <c r="I373">
        <v>256667</v>
      </c>
      <c r="J373">
        <v>266421</v>
      </c>
      <c r="K373">
        <v>722917</v>
      </c>
      <c r="L373">
        <v>133721</v>
      </c>
      <c r="M373">
        <v>109</v>
      </c>
      <c r="N373">
        <v>2693</v>
      </c>
      <c r="O373">
        <v>2802</v>
      </c>
    </row>
    <row r="374" spans="1:15" hidden="1" x14ac:dyDescent="0.25">
      <c r="A374" s="1">
        <v>40954</v>
      </c>
      <c r="B374">
        <v>1</v>
      </c>
      <c r="C374">
        <v>1</v>
      </c>
      <c r="D374">
        <v>2</v>
      </c>
      <c r="E374">
        <v>0</v>
      </c>
      <c r="F374">
        <v>3</v>
      </c>
      <c r="G374">
        <v>1</v>
      </c>
      <c r="H374">
        <v>1</v>
      </c>
      <c r="I374">
        <v>348333</v>
      </c>
      <c r="J374">
        <v>351629</v>
      </c>
      <c r="K374">
        <v>53125</v>
      </c>
      <c r="L374">
        <v>1816</v>
      </c>
      <c r="M374">
        <v>141</v>
      </c>
      <c r="N374">
        <v>4028</v>
      </c>
      <c r="O374">
        <v>4169</v>
      </c>
    </row>
    <row r="375" spans="1:15" hidden="1" x14ac:dyDescent="0.25">
      <c r="A375" s="1">
        <v>40961</v>
      </c>
      <c r="B375">
        <v>1</v>
      </c>
      <c r="C375">
        <v>1</v>
      </c>
      <c r="D375">
        <v>2</v>
      </c>
      <c r="E375">
        <v>0</v>
      </c>
      <c r="F375">
        <v>3</v>
      </c>
      <c r="G375">
        <v>1</v>
      </c>
      <c r="H375">
        <v>1</v>
      </c>
      <c r="I375">
        <v>395833</v>
      </c>
      <c r="J375">
        <v>392667</v>
      </c>
      <c r="K375">
        <v>567917</v>
      </c>
      <c r="L375">
        <v>234471</v>
      </c>
      <c r="M375">
        <v>394</v>
      </c>
      <c r="N375">
        <v>4379</v>
      </c>
      <c r="O375">
        <v>4773</v>
      </c>
    </row>
    <row r="376" spans="1:15" hidden="1" x14ac:dyDescent="0.25">
      <c r="A376" s="1">
        <v>40968</v>
      </c>
      <c r="B376">
        <v>1</v>
      </c>
      <c r="C376">
        <v>1</v>
      </c>
      <c r="D376">
        <v>2</v>
      </c>
      <c r="E376">
        <v>0</v>
      </c>
      <c r="F376">
        <v>3</v>
      </c>
      <c r="G376">
        <v>1</v>
      </c>
      <c r="H376">
        <v>2</v>
      </c>
      <c r="I376">
        <v>344348</v>
      </c>
      <c r="J376">
        <v>34847</v>
      </c>
      <c r="K376">
        <v>804783</v>
      </c>
      <c r="L376">
        <v>179117</v>
      </c>
      <c r="M376">
        <v>65</v>
      </c>
      <c r="N376">
        <v>1769</v>
      </c>
      <c r="O376">
        <v>1834</v>
      </c>
    </row>
    <row r="377" spans="1:15" hidden="1" x14ac:dyDescent="0.25">
      <c r="A377" s="1">
        <v>40975</v>
      </c>
      <c r="B377">
        <v>1</v>
      </c>
      <c r="C377">
        <v>1</v>
      </c>
      <c r="D377">
        <v>3</v>
      </c>
      <c r="E377">
        <v>0</v>
      </c>
      <c r="F377">
        <v>3</v>
      </c>
      <c r="G377">
        <v>1</v>
      </c>
      <c r="H377">
        <v>1</v>
      </c>
      <c r="I377">
        <v>404167</v>
      </c>
      <c r="J377">
        <v>3851</v>
      </c>
      <c r="K377">
        <v>513333</v>
      </c>
      <c r="L377">
        <v>345779</v>
      </c>
      <c r="M377">
        <v>432</v>
      </c>
      <c r="N377">
        <v>4484</v>
      </c>
      <c r="O377">
        <v>4916</v>
      </c>
    </row>
    <row r="378" spans="1:15" hidden="1" x14ac:dyDescent="0.25">
      <c r="A378" s="1">
        <v>40982</v>
      </c>
      <c r="B378">
        <v>1</v>
      </c>
      <c r="C378">
        <v>1</v>
      </c>
      <c r="D378">
        <v>3</v>
      </c>
      <c r="E378">
        <v>0</v>
      </c>
      <c r="F378">
        <v>3</v>
      </c>
      <c r="G378">
        <v>1</v>
      </c>
      <c r="H378">
        <v>1</v>
      </c>
      <c r="I378">
        <v>5725</v>
      </c>
      <c r="J378">
        <v>548617</v>
      </c>
      <c r="K378">
        <v>507083</v>
      </c>
      <c r="L378">
        <v>115062</v>
      </c>
      <c r="M378">
        <v>997</v>
      </c>
      <c r="N378">
        <v>5315</v>
      </c>
      <c r="O378">
        <v>6312</v>
      </c>
    </row>
    <row r="379" spans="1:15" hidden="1" x14ac:dyDescent="0.25">
      <c r="A379" s="1">
        <v>40989</v>
      </c>
      <c r="B379">
        <v>2</v>
      </c>
      <c r="C379">
        <v>1</v>
      </c>
      <c r="D379">
        <v>3</v>
      </c>
      <c r="E379">
        <v>0</v>
      </c>
      <c r="F379">
        <v>3</v>
      </c>
      <c r="G379">
        <v>1</v>
      </c>
      <c r="H379">
        <v>2</v>
      </c>
      <c r="I379">
        <v>531667</v>
      </c>
      <c r="J379">
        <v>513258</v>
      </c>
      <c r="K379">
        <v>82125</v>
      </c>
      <c r="L379">
        <v>895583</v>
      </c>
      <c r="M379">
        <v>1122</v>
      </c>
      <c r="N379">
        <v>5108</v>
      </c>
      <c r="O379">
        <v>6230</v>
      </c>
    </row>
    <row r="380" spans="1:15" hidden="1" x14ac:dyDescent="0.25">
      <c r="A380" s="1">
        <v>40996</v>
      </c>
      <c r="B380">
        <v>2</v>
      </c>
      <c r="C380">
        <v>1</v>
      </c>
      <c r="D380">
        <v>3</v>
      </c>
      <c r="E380">
        <v>0</v>
      </c>
      <c r="F380">
        <v>3</v>
      </c>
      <c r="G380">
        <v>1</v>
      </c>
      <c r="H380">
        <v>1</v>
      </c>
      <c r="I380">
        <v>484167</v>
      </c>
      <c r="J380">
        <v>47095</v>
      </c>
      <c r="K380">
        <v>48125</v>
      </c>
      <c r="L380">
        <v>291671</v>
      </c>
      <c r="M380">
        <v>674</v>
      </c>
      <c r="N380">
        <v>5024</v>
      </c>
      <c r="O380">
        <v>5698</v>
      </c>
    </row>
    <row r="381" spans="1:15" hidden="1" x14ac:dyDescent="0.25">
      <c r="A381" s="1">
        <v>41003</v>
      </c>
      <c r="B381">
        <v>2</v>
      </c>
      <c r="C381">
        <v>1</v>
      </c>
      <c r="D381">
        <v>4</v>
      </c>
      <c r="E381">
        <v>0</v>
      </c>
      <c r="F381">
        <v>3</v>
      </c>
      <c r="G381">
        <v>1</v>
      </c>
      <c r="H381">
        <v>1</v>
      </c>
      <c r="I381">
        <v>541667</v>
      </c>
      <c r="J381">
        <v>53345</v>
      </c>
      <c r="K381">
        <v>469583</v>
      </c>
      <c r="L381">
        <v>180975</v>
      </c>
      <c r="M381">
        <v>1058</v>
      </c>
      <c r="N381">
        <v>5378</v>
      </c>
      <c r="O381">
        <v>6436</v>
      </c>
    </row>
    <row r="382" spans="1:15" hidden="1" x14ac:dyDescent="0.25">
      <c r="A382" s="1">
        <v>41010</v>
      </c>
      <c r="B382">
        <v>2</v>
      </c>
      <c r="C382">
        <v>1</v>
      </c>
      <c r="D382">
        <v>4</v>
      </c>
      <c r="E382">
        <v>0</v>
      </c>
      <c r="F382">
        <v>3</v>
      </c>
      <c r="G382">
        <v>1</v>
      </c>
      <c r="H382">
        <v>1</v>
      </c>
      <c r="I382">
        <v>348696</v>
      </c>
      <c r="J382">
        <v>337274</v>
      </c>
      <c r="K382">
        <v>469565</v>
      </c>
      <c r="L382">
        <v>295274</v>
      </c>
      <c r="M382">
        <v>482</v>
      </c>
      <c r="N382">
        <v>4380</v>
      </c>
      <c r="O382">
        <v>4862</v>
      </c>
    </row>
    <row r="383" spans="1:15" hidden="1" x14ac:dyDescent="0.25">
      <c r="A383" s="1">
        <v>41017</v>
      </c>
      <c r="B383">
        <v>2</v>
      </c>
      <c r="C383">
        <v>1</v>
      </c>
      <c r="D383">
        <v>4</v>
      </c>
      <c r="E383">
        <v>0</v>
      </c>
      <c r="F383">
        <v>3</v>
      </c>
      <c r="G383">
        <v>1</v>
      </c>
      <c r="H383">
        <v>2</v>
      </c>
      <c r="I383">
        <v>463333</v>
      </c>
      <c r="J383">
        <v>457038</v>
      </c>
      <c r="K383">
        <v>569167</v>
      </c>
      <c r="L383">
        <v>167912</v>
      </c>
      <c r="M383">
        <v>347</v>
      </c>
      <c r="N383">
        <v>4020</v>
      </c>
      <c r="O383">
        <v>4367</v>
      </c>
    </row>
    <row r="384" spans="1:15" hidden="1" x14ac:dyDescent="0.25">
      <c r="A384" s="1">
        <v>41024</v>
      </c>
      <c r="B384">
        <v>2</v>
      </c>
      <c r="C384">
        <v>1</v>
      </c>
      <c r="D384">
        <v>4</v>
      </c>
      <c r="E384">
        <v>0</v>
      </c>
      <c r="F384">
        <v>3</v>
      </c>
      <c r="G384">
        <v>1</v>
      </c>
      <c r="H384">
        <v>1</v>
      </c>
      <c r="I384">
        <v>476667</v>
      </c>
      <c r="J384">
        <v>470317</v>
      </c>
      <c r="K384">
        <v>427917</v>
      </c>
      <c r="L384">
        <v>118792</v>
      </c>
      <c r="M384">
        <v>655</v>
      </c>
      <c r="N384">
        <v>5541</v>
      </c>
      <c r="O384">
        <v>6196</v>
      </c>
    </row>
    <row r="385" spans="1:15" hidden="1" x14ac:dyDescent="0.25">
      <c r="A385" s="1">
        <v>41031</v>
      </c>
      <c r="B385">
        <v>2</v>
      </c>
      <c r="C385">
        <v>1</v>
      </c>
      <c r="D385">
        <v>5</v>
      </c>
      <c r="E385">
        <v>0</v>
      </c>
      <c r="F385">
        <v>3</v>
      </c>
      <c r="G385">
        <v>1</v>
      </c>
      <c r="H385">
        <v>1</v>
      </c>
      <c r="I385">
        <v>564167</v>
      </c>
      <c r="J385">
        <v>537896</v>
      </c>
      <c r="K385">
        <v>797083</v>
      </c>
      <c r="L385">
        <v>138058</v>
      </c>
      <c r="M385">
        <v>667</v>
      </c>
      <c r="N385">
        <v>5502</v>
      </c>
      <c r="O385">
        <v>6169</v>
      </c>
    </row>
    <row r="386" spans="1:15" hidden="1" x14ac:dyDescent="0.25">
      <c r="A386" s="1">
        <v>41038</v>
      </c>
      <c r="B386">
        <v>2</v>
      </c>
      <c r="C386">
        <v>1</v>
      </c>
      <c r="D386">
        <v>5</v>
      </c>
      <c r="E386">
        <v>0</v>
      </c>
      <c r="F386">
        <v>3</v>
      </c>
      <c r="G386">
        <v>1</v>
      </c>
      <c r="H386">
        <v>2</v>
      </c>
      <c r="I386">
        <v>575</v>
      </c>
      <c r="J386">
        <v>553025</v>
      </c>
      <c r="K386">
        <v>744167</v>
      </c>
      <c r="L386">
        <v>216412</v>
      </c>
      <c r="M386">
        <v>620</v>
      </c>
      <c r="N386">
        <v>4097</v>
      </c>
      <c r="O386">
        <v>4717</v>
      </c>
    </row>
    <row r="387" spans="1:15" hidden="1" x14ac:dyDescent="0.25">
      <c r="A387" s="1">
        <v>41045</v>
      </c>
      <c r="B387">
        <v>2</v>
      </c>
      <c r="C387">
        <v>1</v>
      </c>
      <c r="D387">
        <v>5</v>
      </c>
      <c r="E387">
        <v>0</v>
      </c>
      <c r="F387">
        <v>3</v>
      </c>
      <c r="G387">
        <v>1</v>
      </c>
      <c r="H387">
        <v>1</v>
      </c>
      <c r="I387">
        <v>636667</v>
      </c>
      <c r="J387">
        <v>595975</v>
      </c>
      <c r="K387">
        <v>697917</v>
      </c>
      <c r="L387">
        <v>122512</v>
      </c>
      <c r="M387">
        <v>991</v>
      </c>
      <c r="N387">
        <v>6433</v>
      </c>
      <c r="O387">
        <v>7424</v>
      </c>
    </row>
    <row r="388" spans="1:15" hidden="1" x14ac:dyDescent="0.25">
      <c r="A388" s="1">
        <v>41052</v>
      </c>
      <c r="B388">
        <v>2</v>
      </c>
      <c r="C388">
        <v>1</v>
      </c>
      <c r="D388">
        <v>5</v>
      </c>
      <c r="E388">
        <v>0</v>
      </c>
      <c r="F388">
        <v>3</v>
      </c>
      <c r="G388">
        <v>1</v>
      </c>
      <c r="H388">
        <v>2</v>
      </c>
      <c r="I388">
        <v>621667</v>
      </c>
      <c r="J388">
        <v>584612</v>
      </c>
      <c r="K388">
        <v>774583</v>
      </c>
      <c r="L388">
        <v>102</v>
      </c>
      <c r="M388">
        <v>766</v>
      </c>
      <c r="N388">
        <v>4494</v>
      </c>
      <c r="O388">
        <v>5260</v>
      </c>
    </row>
    <row r="389" spans="1:15" hidden="1" x14ac:dyDescent="0.25">
      <c r="A389" s="1">
        <v>41059</v>
      </c>
      <c r="B389">
        <v>2</v>
      </c>
      <c r="C389">
        <v>1</v>
      </c>
      <c r="D389">
        <v>5</v>
      </c>
      <c r="E389">
        <v>0</v>
      </c>
      <c r="F389">
        <v>3</v>
      </c>
      <c r="G389">
        <v>1</v>
      </c>
      <c r="H389">
        <v>2</v>
      </c>
      <c r="I389">
        <v>656667</v>
      </c>
      <c r="J389">
        <v>611129</v>
      </c>
      <c r="K389">
        <v>67</v>
      </c>
      <c r="L389">
        <v>134329</v>
      </c>
      <c r="M389">
        <v>745</v>
      </c>
      <c r="N389">
        <v>6110</v>
      </c>
      <c r="O389">
        <v>6855</v>
      </c>
    </row>
    <row r="390" spans="1:15" hidden="1" x14ac:dyDescent="0.25">
      <c r="A390" s="1">
        <v>41066</v>
      </c>
      <c r="B390">
        <v>2</v>
      </c>
      <c r="C390">
        <v>1</v>
      </c>
      <c r="D390">
        <v>6</v>
      </c>
      <c r="E390">
        <v>0</v>
      </c>
      <c r="F390">
        <v>3</v>
      </c>
      <c r="G390">
        <v>1</v>
      </c>
      <c r="H390">
        <v>1</v>
      </c>
      <c r="I390">
        <v>554167</v>
      </c>
      <c r="J390">
        <v>542292</v>
      </c>
      <c r="K390">
        <v>61125</v>
      </c>
      <c r="L390">
        <v>77125</v>
      </c>
      <c r="M390">
        <v>1027</v>
      </c>
      <c r="N390">
        <v>6028</v>
      </c>
      <c r="O390">
        <v>7055</v>
      </c>
    </row>
    <row r="391" spans="1:15" hidden="1" x14ac:dyDescent="0.25">
      <c r="A391" s="1">
        <v>41073</v>
      </c>
      <c r="B391">
        <v>2</v>
      </c>
      <c r="C391">
        <v>1</v>
      </c>
      <c r="D391">
        <v>6</v>
      </c>
      <c r="E391">
        <v>0</v>
      </c>
      <c r="F391">
        <v>3</v>
      </c>
      <c r="G391">
        <v>1</v>
      </c>
      <c r="H391">
        <v>1</v>
      </c>
      <c r="I391">
        <v>655833</v>
      </c>
      <c r="J391">
        <v>611117</v>
      </c>
      <c r="K391">
        <v>582083</v>
      </c>
      <c r="L391">
        <v>343279</v>
      </c>
      <c r="M391">
        <v>1173</v>
      </c>
      <c r="N391">
        <v>6248</v>
      </c>
      <c r="O391">
        <v>7421</v>
      </c>
    </row>
    <row r="392" spans="1:15" hidden="1" x14ac:dyDescent="0.25">
      <c r="A392" s="1">
        <v>41080</v>
      </c>
      <c r="B392">
        <v>2</v>
      </c>
      <c r="C392">
        <v>1</v>
      </c>
      <c r="D392">
        <v>6</v>
      </c>
      <c r="E392">
        <v>0</v>
      </c>
      <c r="F392">
        <v>3</v>
      </c>
      <c r="G392">
        <v>1</v>
      </c>
      <c r="H392">
        <v>1</v>
      </c>
      <c r="I392">
        <v>7825</v>
      </c>
      <c r="J392">
        <v>720975</v>
      </c>
      <c r="K392">
        <v>592083</v>
      </c>
      <c r="L392">
        <v>113812</v>
      </c>
      <c r="M392">
        <v>872</v>
      </c>
      <c r="N392">
        <v>5339</v>
      </c>
      <c r="O392">
        <v>6211</v>
      </c>
    </row>
    <row r="393" spans="1:15" hidden="1" x14ac:dyDescent="0.25">
      <c r="A393" s="1">
        <v>41087</v>
      </c>
      <c r="B393">
        <v>3</v>
      </c>
      <c r="C393">
        <v>1</v>
      </c>
      <c r="D393">
        <v>6</v>
      </c>
      <c r="E393">
        <v>0</v>
      </c>
      <c r="F393">
        <v>3</v>
      </c>
      <c r="G393">
        <v>1</v>
      </c>
      <c r="H393">
        <v>1</v>
      </c>
      <c r="I393">
        <v>6975</v>
      </c>
      <c r="J393">
        <v>640792</v>
      </c>
      <c r="K393">
        <v>36</v>
      </c>
      <c r="L393">
        <v>271775</v>
      </c>
      <c r="M393">
        <v>1077</v>
      </c>
      <c r="N393">
        <v>6258</v>
      </c>
      <c r="O393">
        <v>7335</v>
      </c>
    </row>
    <row r="394" spans="1:15" hidden="1" x14ac:dyDescent="0.25">
      <c r="A394" s="1">
        <v>41094</v>
      </c>
      <c r="B394">
        <v>3</v>
      </c>
      <c r="C394">
        <v>1</v>
      </c>
      <c r="D394">
        <v>7</v>
      </c>
      <c r="E394">
        <v>1</v>
      </c>
      <c r="F394">
        <v>3</v>
      </c>
      <c r="G394">
        <v>0</v>
      </c>
      <c r="H394">
        <v>1</v>
      </c>
      <c r="I394">
        <v>789167</v>
      </c>
      <c r="J394">
        <v>732337</v>
      </c>
      <c r="K394">
        <v>53875</v>
      </c>
      <c r="L394">
        <v>13495</v>
      </c>
      <c r="M394">
        <v>2562</v>
      </c>
      <c r="N394">
        <v>4841</v>
      </c>
      <c r="O394">
        <v>7403</v>
      </c>
    </row>
    <row r="395" spans="1:15" hidden="1" x14ac:dyDescent="0.25">
      <c r="A395" s="1">
        <v>41101</v>
      </c>
      <c r="B395">
        <v>3</v>
      </c>
      <c r="C395">
        <v>1</v>
      </c>
      <c r="D395">
        <v>7</v>
      </c>
      <c r="E395">
        <v>0</v>
      </c>
      <c r="F395">
        <v>3</v>
      </c>
      <c r="G395">
        <v>1</v>
      </c>
      <c r="H395">
        <v>1</v>
      </c>
      <c r="I395">
        <v>716667</v>
      </c>
      <c r="J395">
        <v>650271</v>
      </c>
      <c r="K395">
        <v>633333</v>
      </c>
      <c r="L395">
        <v>151733</v>
      </c>
      <c r="M395">
        <v>975</v>
      </c>
      <c r="N395">
        <v>6289</v>
      </c>
      <c r="O395">
        <v>7264</v>
      </c>
    </row>
    <row r="396" spans="1:15" hidden="1" x14ac:dyDescent="0.25">
      <c r="A396" s="1">
        <v>41108</v>
      </c>
      <c r="B396">
        <v>3</v>
      </c>
      <c r="C396">
        <v>1</v>
      </c>
      <c r="D396">
        <v>7</v>
      </c>
      <c r="E396">
        <v>0</v>
      </c>
      <c r="F396">
        <v>3</v>
      </c>
      <c r="G396">
        <v>1</v>
      </c>
      <c r="H396">
        <v>1</v>
      </c>
      <c r="I396">
        <v>793333</v>
      </c>
      <c r="J396">
        <v>745583</v>
      </c>
      <c r="K396">
        <v>577083</v>
      </c>
      <c r="L396">
        <v>137442</v>
      </c>
      <c r="M396">
        <v>799</v>
      </c>
      <c r="N396">
        <v>4914</v>
      </c>
      <c r="O396">
        <v>5713</v>
      </c>
    </row>
    <row r="397" spans="1:15" hidden="1" x14ac:dyDescent="0.25">
      <c r="A397" s="1">
        <v>41115</v>
      </c>
      <c r="B397">
        <v>3</v>
      </c>
      <c r="C397">
        <v>1</v>
      </c>
      <c r="D397">
        <v>7</v>
      </c>
      <c r="E397">
        <v>0</v>
      </c>
      <c r="F397">
        <v>3</v>
      </c>
      <c r="G397">
        <v>1</v>
      </c>
      <c r="H397">
        <v>1</v>
      </c>
      <c r="I397">
        <v>724167</v>
      </c>
      <c r="J397">
        <v>654054</v>
      </c>
      <c r="K397">
        <v>45</v>
      </c>
      <c r="L397">
        <v>1648</v>
      </c>
      <c r="M397">
        <v>1383</v>
      </c>
      <c r="N397">
        <v>6790</v>
      </c>
      <c r="O397">
        <v>8173</v>
      </c>
    </row>
    <row r="398" spans="1:15" hidden="1" x14ac:dyDescent="0.25">
      <c r="A398" s="1">
        <v>41122</v>
      </c>
      <c r="B398">
        <v>3</v>
      </c>
      <c r="C398">
        <v>1</v>
      </c>
      <c r="D398">
        <v>8</v>
      </c>
      <c r="E398">
        <v>0</v>
      </c>
      <c r="F398">
        <v>3</v>
      </c>
      <c r="G398">
        <v>1</v>
      </c>
      <c r="H398">
        <v>1</v>
      </c>
      <c r="I398">
        <v>7175</v>
      </c>
      <c r="J398">
        <v>667308</v>
      </c>
      <c r="K398">
        <v>6775</v>
      </c>
      <c r="L398">
        <v>141179</v>
      </c>
      <c r="M398">
        <v>1074</v>
      </c>
      <c r="N398">
        <v>6506</v>
      </c>
      <c r="O398">
        <v>7580</v>
      </c>
    </row>
    <row r="399" spans="1:15" hidden="1" x14ac:dyDescent="0.25">
      <c r="A399" s="1">
        <v>41129</v>
      </c>
      <c r="B399">
        <v>3</v>
      </c>
      <c r="C399">
        <v>1</v>
      </c>
      <c r="D399">
        <v>8</v>
      </c>
      <c r="E399">
        <v>0</v>
      </c>
      <c r="F399">
        <v>3</v>
      </c>
      <c r="G399">
        <v>1</v>
      </c>
      <c r="H399">
        <v>2</v>
      </c>
      <c r="I399">
        <v>75</v>
      </c>
      <c r="J399">
        <v>707717</v>
      </c>
      <c r="K399">
        <v>672917</v>
      </c>
      <c r="L399">
        <v>1107</v>
      </c>
      <c r="M399">
        <v>1263</v>
      </c>
      <c r="N399">
        <v>6271</v>
      </c>
      <c r="O399">
        <v>7534</v>
      </c>
    </row>
    <row r="400" spans="1:15" hidden="1" x14ac:dyDescent="0.25">
      <c r="A400" s="1">
        <v>41136</v>
      </c>
      <c r="B400">
        <v>3</v>
      </c>
      <c r="C400">
        <v>1</v>
      </c>
      <c r="D400">
        <v>8</v>
      </c>
      <c r="E400">
        <v>0</v>
      </c>
      <c r="F400">
        <v>3</v>
      </c>
      <c r="G400">
        <v>1</v>
      </c>
      <c r="H400">
        <v>1</v>
      </c>
      <c r="I400">
        <v>706667</v>
      </c>
      <c r="J400">
        <v>654037</v>
      </c>
      <c r="K400">
        <v>619583</v>
      </c>
      <c r="L400">
        <v>169771</v>
      </c>
      <c r="M400">
        <v>1198</v>
      </c>
      <c r="N400">
        <v>6149</v>
      </c>
      <c r="O400">
        <v>7347</v>
      </c>
    </row>
    <row r="401" spans="1:15" hidden="1" x14ac:dyDescent="0.25">
      <c r="A401" s="1">
        <v>41143</v>
      </c>
      <c r="B401">
        <v>3</v>
      </c>
      <c r="C401">
        <v>1</v>
      </c>
      <c r="D401">
        <v>8</v>
      </c>
      <c r="E401">
        <v>0</v>
      </c>
      <c r="F401">
        <v>3</v>
      </c>
      <c r="G401">
        <v>1</v>
      </c>
      <c r="H401">
        <v>1</v>
      </c>
      <c r="I401">
        <v>6675</v>
      </c>
      <c r="J401">
        <v>621854</v>
      </c>
      <c r="K401">
        <v>677083</v>
      </c>
      <c r="L401">
        <v>702833</v>
      </c>
      <c r="M401">
        <v>1094</v>
      </c>
      <c r="N401">
        <v>6281</v>
      </c>
      <c r="O401">
        <v>7375</v>
      </c>
    </row>
    <row r="402" spans="1:15" hidden="1" x14ac:dyDescent="0.25">
      <c r="A402" s="1">
        <v>41150</v>
      </c>
      <c r="B402">
        <v>3</v>
      </c>
      <c r="C402">
        <v>1</v>
      </c>
      <c r="D402">
        <v>8</v>
      </c>
      <c r="E402">
        <v>0</v>
      </c>
      <c r="F402">
        <v>3</v>
      </c>
      <c r="G402">
        <v>1</v>
      </c>
      <c r="H402">
        <v>1</v>
      </c>
      <c r="I402">
        <v>685</v>
      </c>
      <c r="J402">
        <v>635733</v>
      </c>
      <c r="K402">
        <v>552083</v>
      </c>
      <c r="L402">
        <v>112562</v>
      </c>
      <c r="M402">
        <v>1177</v>
      </c>
      <c r="N402">
        <v>6520</v>
      </c>
      <c r="O402">
        <v>7697</v>
      </c>
    </row>
    <row r="403" spans="1:15" hidden="1" x14ac:dyDescent="0.25">
      <c r="A403" s="1">
        <v>41157</v>
      </c>
      <c r="B403">
        <v>3</v>
      </c>
      <c r="C403">
        <v>1</v>
      </c>
      <c r="D403">
        <v>9</v>
      </c>
      <c r="E403">
        <v>0</v>
      </c>
      <c r="F403">
        <v>3</v>
      </c>
      <c r="G403">
        <v>1</v>
      </c>
      <c r="H403">
        <v>1</v>
      </c>
      <c r="I403">
        <v>736667</v>
      </c>
      <c r="J403">
        <v>708983</v>
      </c>
      <c r="K403">
        <v>74125</v>
      </c>
      <c r="L403">
        <v>187808</v>
      </c>
      <c r="M403">
        <v>832</v>
      </c>
      <c r="N403">
        <v>6280</v>
      </c>
      <c r="O403">
        <v>7112</v>
      </c>
    </row>
    <row r="404" spans="1:15" hidden="1" x14ac:dyDescent="0.25">
      <c r="A404" s="1">
        <v>41164</v>
      </c>
      <c r="B404">
        <v>3</v>
      </c>
      <c r="C404">
        <v>1</v>
      </c>
      <c r="D404">
        <v>9</v>
      </c>
      <c r="E404">
        <v>0</v>
      </c>
      <c r="F404">
        <v>3</v>
      </c>
      <c r="G404">
        <v>1</v>
      </c>
      <c r="H404">
        <v>1</v>
      </c>
      <c r="I404">
        <v>599167</v>
      </c>
      <c r="J404">
        <v>570075</v>
      </c>
      <c r="K404">
        <v>577083</v>
      </c>
      <c r="L404">
        <v>131846</v>
      </c>
      <c r="M404">
        <v>1050</v>
      </c>
      <c r="N404">
        <v>6820</v>
      </c>
      <c r="O404">
        <v>7870</v>
      </c>
    </row>
    <row r="405" spans="1:15" hidden="1" x14ac:dyDescent="0.25">
      <c r="A405" s="1">
        <v>41171</v>
      </c>
      <c r="B405">
        <v>3</v>
      </c>
      <c r="C405">
        <v>1</v>
      </c>
      <c r="D405">
        <v>9</v>
      </c>
      <c r="E405">
        <v>0</v>
      </c>
      <c r="F405">
        <v>3</v>
      </c>
      <c r="G405">
        <v>1</v>
      </c>
      <c r="H405">
        <v>1</v>
      </c>
      <c r="I405">
        <v>5525</v>
      </c>
      <c r="J405">
        <v>540404</v>
      </c>
      <c r="K405">
        <v>536667</v>
      </c>
      <c r="L405">
        <v>215175</v>
      </c>
      <c r="M405">
        <v>788</v>
      </c>
      <c r="N405">
        <v>6803</v>
      </c>
      <c r="O405">
        <v>7591</v>
      </c>
    </row>
    <row r="406" spans="1:15" hidden="1" x14ac:dyDescent="0.25">
      <c r="A406" s="1">
        <v>41178</v>
      </c>
      <c r="B406">
        <v>4</v>
      </c>
      <c r="C406">
        <v>1</v>
      </c>
      <c r="D406">
        <v>9</v>
      </c>
      <c r="E406">
        <v>0</v>
      </c>
      <c r="F406">
        <v>3</v>
      </c>
      <c r="G406">
        <v>1</v>
      </c>
      <c r="H406">
        <v>1</v>
      </c>
      <c r="I406">
        <v>635</v>
      </c>
      <c r="J406">
        <v>596613</v>
      </c>
      <c r="K406">
        <v>630833</v>
      </c>
      <c r="L406">
        <v>2444</v>
      </c>
      <c r="M406">
        <v>787</v>
      </c>
      <c r="N406">
        <v>6946</v>
      </c>
      <c r="O406">
        <v>7733</v>
      </c>
    </row>
    <row r="407" spans="1:15" hidden="1" x14ac:dyDescent="0.25">
      <c r="A407" s="1">
        <v>41185</v>
      </c>
      <c r="B407">
        <v>4</v>
      </c>
      <c r="C407">
        <v>1</v>
      </c>
      <c r="D407">
        <v>10</v>
      </c>
      <c r="E407">
        <v>0</v>
      </c>
      <c r="F407">
        <v>3</v>
      </c>
      <c r="G407">
        <v>1</v>
      </c>
      <c r="H407">
        <v>2</v>
      </c>
      <c r="I407">
        <v>6575</v>
      </c>
      <c r="J407">
        <v>599133</v>
      </c>
      <c r="K407">
        <v>79375</v>
      </c>
      <c r="L407">
        <v>665458</v>
      </c>
      <c r="M407">
        <v>728</v>
      </c>
      <c r="N407">
        <v>6844</v>
      </c>
      <c r="O407">
        <v>7572</v>
      </c>
    </row>
    <row r="408" spans="1:15" hidden="1" x14ac:dyDescent="0.25">
      <c r="A408" s="1">
        <v>41192</v>
      </c>
      <c r="B408">
        <v>4</v>
      </c>
      <c r="C408">
        <v>1</v>
      </c>
      <c r="D408">
        <v>10</v>
      </c>
      <c r="E408">
        <v>0</v>
      </c>
      <c r="F408">
        <v>3</v>
      </c>
      <c r="G408">
        <v>1</v>
      </c>
      <c r="H408">
        <v>1</v>
      </c>
      <c r="I408">
        <v>514167</v>
      </c>
      <c r="J408">
        <v>503142</v>
      </c>
      <c r="K408">
        <v>630833</v>
      </c>
      <c r="L408">
        <v>187821</v>
      </c>
      <c r="M408">
        <v>780</v>
      </c>
      <c r="N408">
        <v>6911</v>
      </c>
      <c r="O408">
        <v>7691</v>
      </c>
    </row>
    <row r="409" spans="1:15" hidden="1" x14ac:dyDescent="0.25">
      <c r="A409" s="1">
        <v>41199</v>
      </c>
      <c r="B409">
        <v>4</v>
      </c>
      <c r="C409">
        <v>1</v>
      </c>
      <c r="D409">
        <v>10</v>
      </c>
      <c r="E409">
        <v>0</v>
      </c>
      <c r="F409">
        <v>3</v>
      </c>
      <c r="G409">
        <v>1</v>
      </c>
      <c r="H409">
        <v>1</v>
      </c>
      <c r="I409">
        <v>455833</v>
      </c>
      <c r="J409">
        <v>450108</v>
      </c>
      <c r="K409">
        <v>692917</v>
      </c>
      <c r="L409">
        <v>101371</v>
      </c>
      <c r="M409">
        <v>979</v>
      </c>
      <c r="N409">
        <v>6482</v>
      </c>
      <c r="O409">
        <v>7461</v>
      </c>
    </row>
    <row r="410" spans="1:15" hidden="1" x14ac:dyDescent="0.25">
      <c r="A410" s="1">
        <v>41206</v>
      </c>
      <c r="B410">
        <v>4</v>
      </c>
      <c r="C410">
        <v>1</v>
      </c>
      <c r="D410">
        <v>10</v>
      </c>
      <c r="E410">
        <v>0</v>
      </c>
      <c r="F410">
        <v>3</v>
      </c>
      <c r="G410">
        <v>1</v>
      </c>
      <c r="H410">
        <v>1</v>
      </c>
      <c r="I410">
        <v>5875</v>
      </c>
      <c r="J410">
        <v>558721</v>
      </c>
      <c r="K410">
        <v>63625</v>
      </c>
      <c r="L410">
        <v>727792</v>
      </c>
      <c r="M410">
        <v>795</v>
      </c>
      <c r="N410">
        <v>6898</v>
      </c>
      <c r="O410">
        <v>7693</v>
      </c>
    </row>
    <row r="411" spans="1:15" hidden="1" x14ac:dyDescent="0.25">
      <c r="A411" s="1">
        <v>41213</v>
      </c>
      <c r="B411">
        <v>4</v>
      </c>
      <c r="C411">
        <v>1</v>
      </c>
      <c r="D411">
        <v>10</v>
      </c>
      <c r="E411">
        <v>0</v>
      </c>
      <c r="F411">
        <v>3</v>
      </c>
      <c r="G411">
        <v>1</v>
      </c>
      <c r="H411">
        <v>2</v>
      </c>
      <c r="I411">
        <v>3575</v>
      </c>
      <c r="J411">
        <v>3611</v>
      </c>
      <c r="K411">
        <v>666667</v>
      </c>
      <c r="L411">
        <v>166667</v>
      </c>
      <c r="M411">
        <v>419</v>
      </c>
      <c r="N411">
        <v>5147</v>
      </c>
      <c r="O411">
        <v>5566</v>
      </c>
    </row>
    <row r="412" spans="1:15" hidden="1" x14ac:dyDescent="0.25">
      <c r="A412" s="1">
        <v>41220</v>
      </c>
      <c r="B412">
        <v>4</v>
      </c>
      <c r="C412">
        <v>1</v>
      </c>
      <c r="D412">
        <v>11</v>
      </c>
      <c r="E412">
        <v>0</v>
      </c>
      <c r="F412">
        <v>3</v>
      </c>
      <c r="G412">
        <v>1</v>
      </c>
      <c r="H412">
        <v>2</v>
      </c>
      <c r="I412">
        <v>295833</v>
      </c>
      <c r="J412">
        <v>274621</v>
      </c>
      <c r="K412">
        <v>5475</v>
      </c>
      <c r="L412">
        <v>304108</v>
      </c>
      <c r="M412">
        <v>326</v>
      </c>
      <c r="N412">
        <v>4709</v>
      </c>
      <c r="O412">
        <v>5035</v>
      </c>
    </row>
    <row r="413" spans="1:15" hidden="1" x14ac:dyDescent="0.25">
      <c r="A413" s="1">
        <v>41227</v>
      </c>
      <c r="B413">
        <v>4</v>
      </c>
      <c r="C413">
        <v>1</v>
      </c>
      <c r="D413">
        <v>11</v>
      </c>
      <c r="E413">
        <v>0</v>
      </c>
      <c r="F413">
        <v>3</v>
      </c>
      <c r="G413">
        <v>1</v>
      </c>
      <c r="H413">
        <v>1</v>
      </c>
      <c r="I413">
        <v>289167</v>
      </c>
      <c r="J413">
        <v>281563</v>
      </c>
      <c r="K413">
        <v>552083</v>
      </c>
      <c r="L413">
        <v>199625</v>
      </c>
      <c r="M413">
        <v>373</v>
      </c>
      <c r="N413">
        <v>5122</v>
      </c>
      <c r="O413">
        <v>5495</v>
      </c>
    </row>
    <row r="414" spans="1:15" hidden="1" x14ac:dyDescent="0.25">
      <c r="A414" s="1">
        <v>41234</v>
      </c>
      <c r="B414">
        <v>4</v>
      </c>
      <c r="C414">
        <v>1</v>
      </c>
      <c r="D414">
        <v>11</v>
      </c>
      <c r="E414">
        <v>0</v>
      </c>
      <c r="F414">
        <v>3</v>
      </c>
      <c r="G414">
        <v>1</v>
      </c>
      <c r="H414">
        <v>1</v>
      </c>
      <c r="I414">
        <v>353333</v>
      </c>
      <c r="J414">
        <v>364892</v>
      </c>
      <c r="K414">
        <v>61375</v>
      </c>
      <c r="L414">
        <v>103246</v>
      </c>
      <c r="M414">
        <v>615</v>
      </c>
      <c r="N414">
        <v>4531</v>
      </c>
      <c r="O414">
        <v>5146</v>
      </c>
    </row>
    <row r="415" spans="1:15" hidden="1" x14ac:dyDescent="0.25">
      <c r="A415" s="1">
        <v>41241</v>
      </c>
      <c r="B415">
        <v>4</v>
      </c>
      <c r="C415">
        <v>1</v>
      </c>
      <c r="D415">
        <v>11</v>
      </c>
      <c r="E415">
        <v>0</v>
      </c>
      <c r="F415">
        <v>3</v>
      </c>
      <c r="G415">
        <v>1</v>
      </c>
      <c r="H415">
        <v>1</v>
      </c>
      <c r="I415">
        <v>296667</v>
      </c>
      <c r="J415">
        <v>289762</v>
      </c>
      <c r="K415">
        <v>50625</v>
      </c>
      <c r="L415">
        <v>210821</v>
      </c>
      <c r="M415">
        <v>198</v>
      </c>
      <c r="N415">
        <v>5062</v>
      </c>
      <c r="O415">
        <v>5260</v>
      </c>
    </row>
    <row r="416" spans="1:15" hidden="1" x14ac:dyDescent="0.25">
      <c r="A416" s="1">
        <v>41248</v>
      </c>
      <c r="B416">
        <v>4</v>
      </c>
      <c r="C416">
        <v>1</v>
      </c>
      <c r="D416">
        <v>12</v>
      </c>
      <c r="E416">
        <v>0</v>
      </c>
      <c r="F416">
        <v>3</v>
      </c>
      <c r="G416">
        <v>1</v>
      </c>
      <c r="H416">
        <v>1</v>
      </c>
      <c r="I416">
        <v>438333</v>
      </c>
      <c r="J416">
        <v>428012</v>
      </c>
      <c r="K416">
        <v>485</v>
      </c>
      <c r="L416">
        <v>324021</v>
      </c>
      <c r="M416">
        <v>331</v>
      </c>
      <c r="N416">
        <v>5398</v>
      </c>
      <c r="O416">
        <v>5729</v>
      </c>
    </row>
    <row r="417" spans="1:15" hidden="1" x14ac:dyDescent="0.25">
      <c r="A417" s="1">
        <v>41255</v>
      </c>
      <c r="B417">
        <v>4</v>
      </c>
      <c r="C417">
        <v>1</v>
      </c>
      <c r="D417">
        <v>12</v>
      </c>
      <c r="E417">
        <v>0</v>
      </c>
      <c r="F417">
        <v>3</v>
      </c>
      <c r="G417">
        <v>1</v>
      </c>
      <c r="H417">
        <v>2</v>
      </c>
      <c r="I417">
        <v>2975</v>
      </c>
      <c r="J417">
        <v>297338</v>
      </c>
      <c r="K417">
        <v>538333</v>
      </c>
      <c r="L417">
        <v>162937</v>
      </c>
      <c r="M417">
        <v>310</v>
      </c>
      <c r="N417">
        <v>5009</v>
      </c>
      <c r="O417">
        <v>5319</v>
      </c>
    </row>
    <row r="418" spans="1:15" hidden="1" x14ac:dyDescent="0.25">
      <c r="A418" s="1">
        <v>41262</v>
      </c>
      <c r="B418">
        <v>4</v>
      </c>
      <c r="C418">
        <v>1</v>
      </c>
      <c r="D418">
        <v>12</v>
      </c>
      <c r="E418">
        <v>0</v>
      </c>
      <c r="F418">
        <v>3</v>
      </c>
      <c r="G418">
        <v>1</v>
      </c>
      <c r="H418">
        <v>1</v>
      </c>
      <c r="I418">
        <v>3325</v>
      </c>
      <c r="J418">
        <v>342162</v>
      </c>
      <c r="K418">
        <v>625417</v>
      </c>
      <c r="L418">
        <v>184092</v>
      </c>
      <c r="M418">
        <v>333</v>
      </c>
      <c r="N418">
        <v>4934</v>
      </c>
      <c r="O418">
        <v>5267</v>
      </c>
    </row>
    <row r="419" spans="1:15" hidden="1" x14ac:dyDescent="0.25">
      <c r="A419" s="1">
        <v>41269</v>
      </c>
      <c r="B419">
        <v>1</v>
      </c>
      <c r="C419">
        <v>1</v>
      </c>
      <c r="D419">
        <v>12</v>
      </c>
      <c r="E419">
        <v>0</v>
      </c>
      <c r="F419">
        <v>3</v>
      </c>
      <c r="G419">
        <v>1</v>
      </c>
      <c r="H419">
        <v>3</v>
      </c>
      <c r="I419">
        <v>243333</v>
      </c>
      <c r="J419">
        <v>220333</v>
      </c>
      <c r="K419">
        <v>823333</v>
      </c>
      <c r="L419">
        <v>316546</v>
      </c>
      <c r="M419">
        <v>9</v>
      </c>
      <c r="N419">
        <v>432</v>
      </c>
      <c r="O419">
        <v>441</v>
      </c>
    </row>
    <row r="420" spans="1:15" hidden="1" x14ac:dyDescent="0.25">
      <c r="A420" s="1">
        <v>40549</v>
      </c>
      <c r="B420">
        <v>1</v>
      </c>
      <c r="C420">
        <v>0</v>
      </c>
      <c r="D420">
        <v>1</v>
      </c>
      <c r="E420">
        <v>0</v>
      </c>
      <c r="F420">
        <v>4</v>
      </c>
      <c r="G420">
        <v>1</v>
      </c>
      <c r="H420">
        <v>1</v>
      </c>
      <c r="I420">
        <v>204348</v>
      </c>
      <c r="J420">
        <v>233209</v>
      </c>
      <c r="K420">
        <v>518261</v>
      </c>
      <c r="L420">
        <v>895652</v>
      </c>
      <c r="M420">
        <v>88</v>
      </c>
      <c r="N420">
        <v>1518</v>
      </c>
      <c r="O420">
        <v>1606</v>
      </c>
    </row>
    <row r="421" spans="1:15" hidden="1" x14ac:dyDescent="0.25">
      <c r="A421" s="1">
        <v>40556</v>
      </c>
      <c r="B421">
        <v>1</v>
      </c>
      <c r="C421">
        <v>0</v>
      </c>
      <c r="D421">
        <v>1</v>
      </c>
      <c r="E421">
        <v>0</v>
      </c>
      <c r="F421">
        <v>4</v>
      </c>
      <c r="G421">
        <v>1</v>
      </c>
      <c r="H421">
        <v>1</v>
      </c>
      <c r="I421">
        <v>165</v>
      </c>
      <c r="J421">
        <v>150883</v>
      </c>
      <c r="K421">
        <v>470417</v>
      </c>
      <c r="L421">
        <v>301</v>
      </c>
      <c r="M421">
        <v>38</v>
      </c>
      <c r="N421">
        <v>1368</v>
      </c>
      <c r="O421">
        <v>1406</v>
      </c>
    </row>
    <row r="422" spans="1:15" hidden="1" x14ac:dyDescent="0.25">
      <c r="A422" s="1">
        <v>40563</v>
      </c>
      <c r="B422">
        <v>1</v>
      </c>
      <c r="C422">
        <v>0</v>
      </c>
      <c r="D422">
        <v>1</v>
      </c>
      <c r="E422">
        <v>0</v>
      </c>
      <c r="F422">
        <v>4</v>
      </c>
      <c r="G422">
        <v>1</v>
      </c>
      <c r="H422">
        <v>2</v>
      </c>
      <c r="I422">
        <v>261667</v>
      </c>
      <c r="J422">
        <v>25505</v>
      </c>
      <c r="K422">
        <v>538333</v>
      </c>
      <c r="L422">
        <v>195904</v>
      </c>
      <c r="M422">
        <v>83</v>
      </c>
      <c r="N422">
        <v>1844</v>
      </c>
      <c r="O422">
        <v>1927</v>
      </c>
    </row>
    <row r="423" spans="1:15" hidden="1" x14ac:dyDescent="0.25">
      <c r="A423" s="1">
        <v>40570</v>
      </c>
      <c r="B423">
        <v>1</v>
      </c>
      <c r="C423">
        <v>0</v>
      </c>
      <c r="D423">
        <v>1</v>
      </c>
      <c r="E423">
        <v>0</v>
      </c>
      <c r="F423">
        <v>4</v>
      </c>
      <c r="G423">
        <v>1</v>
      </c>
      <c r="H423">
        <v>1</v>
      </c>
      <c r="I423">
        <v>195</v>
      </c>
      <c r="J423">
        <v>2197</v>
      </c>
      <c r="K423">
        <v>6875</v>
      </c>
      <c r="L423">
        <v>113837</v>
      </c>
      <c r="M423">
        <v>15</v>
      </c>
      <c r="N423">
        <v>416</v>
      </c>
      <c r="O423">
        <v>431</v>
      </c>
    </row>
    <row r="424" spans="1:15" hidden="1" x14ac:dyDescent="0.25">
      <c r="A424" s="1">
        <v>40577</v>
      </c>
      <c r="B424">
        <v>1</v>
      </c>
      <c r="C424">
        <v>0</v>
      </c>
      <c r="D424">
        <v>2</v>
      </c>
      <c r="E424">
        <v>0</v>
      </c>
      <c r="F424">
        <v>4</v>
      </c>
      <c r="G424">
        <v>1</v>
      </c>
      <c r="H424">
        <v>1</v>
      </c>
      <c r="I424">
        <v>186957</v>
      </c>
      <c r="J424">
        <v>177878</v>
      </c>
      <c r="K424">
        <v>437826</v>
      </c>
      <c r="L424">
        <v>277752</v>
      </c>
      <c r="M424">
        <v>61</v>
      </c>
      <c r="N424">
        <v>1489</v>
      </c>
      <c r="O424">
        <v>1550</v>
      </c>
    </row>
    <row r="425" spans="1:15" hidden="1" x14ac:dyDescent="0.25">
      <c r="A425" s="1">
        <v>40584</v>
      </c>
      <c r="B425">
        <v>1</v>
      </c>
      <c r="C425">
        <v>0</v>
      </c>
      <c r="D425">
        <v>2</v>
      </c>
      <c r="E425">
        <v>0</v>
      </c>
      <c r="F425">
        <v>4</v>
      </c>
      <c r="G425">
        <v>1</v>
      </c>
      <c r="H425">
        <v>1</v>
      </c>
      <c r="I425">
        <v>144348</v>
      </c>
      <c r="J425">
        <v>149548</v>
      </c>
      <c r="K425">
        <v>437391</v>
      </c>
      <c r="L425">
        <v>221935</v>
      </c>
      <c r="M425">
        <v>47</v>
      </c>
      <c r="N425">
        <v>1491</v>
      </c>
      <c r="O425">
        <v>1538</v>
      </c>
    </row>
    <row r="426" spans="1:15" hidden="1" x14ac:dyDescent="0.25">
      <c r="A426" s="1">
        <v>40591</v>
      </c>
      <c r="B426">
        <v>1</v>
      </c>
      <c r="C426">
        <v>0</v>
      </c>
      <c r="D426">
        <v>2</v>
      </c>
      <c r="E426">
        <v>0</v>
      </c>
      <c r="F426">
        <v>4</v>
      </c>
      <c r="G426">
        <v>1</v>
      </c>
      <c r="H426">
        <v>1</v>
      </c>
      <c r="I426">
        <v>435833</v>
      </c>
      <c r="J426">
        <v>428658</v>
      </c>
      <c r="K426">
        <v>505</v>
      </c>
      <c r="L426">
        <v>230104</v>
      </c>
      <c r="M426">
        <v>259</v>
      </c>
      <c r="N426">
        <v>2216</v>
      </c>
      <c r="O426">
        <v>2475</v>
      </c>
    </row>
    <row r="427" spans="1:15" hidden="1" x14ac:dyDescent="0.25">
      <c r="A427" s="1">
        <v>40598</v>
      </c>
      <c r="B427">
        <v>1</v>
      </c>
      <c r="C427">
        <v>0</v>
      </c>
      <c r="D427">
        <v>2</v>
      </c>
      <c r="E427">
        <v>0</v>
      </c>
      <c r="F427">
        <v>4</v>
      </c>
      <c r="G427">
        <v>1</v>
      </c>
      <c r="H427">
        <v>2</v>
      </c>
      <c r="I427">
        <v>295652</v>
      </c>
      <c r="J427">
        <v>289191</v>
      </c>
      <c r="K427">
        <v>697391</v>
      </c>
      <c r="L427">
        <v>250496</v>
      </c>
      <c r="M427">
        <v>100</v>
      </c>
      <c r="N427">
        <v>1707</v>
      </c>
      <c r="O427">
        <v>1807</v>
      </c>
    </row>
    <row r="428" spans="1:15" hidden="1" x14ac:dyDescent="0.25">
      <c r="A428" s="1">
        <v>40605</v>
      </c>
      <c r="B428">
        <v>1</v>
      </c>
      <c r="C428">
        <v>0</v>
      </c>
      <c r="D428">
        <v>3</v>
      </c>
      <c r="E428">
        <v>0</v>
      </c>
      <c r="F428">
        <v>4</v>
      </c>
      <c r="G428">
        <v>1</v>
      </c>
      <c r="H428">
        <v>1</v>
      </c>
      <c r="I428">
        <v>198333</v>
      </c>
      <c r="J428">
        <v>200133</v>
      </c>
      <c r="K428">
        <v>318333</v>
      </c>
      <c r="L428">
        <v>225754</v>
      </c>
      <c r="M428">
        <v>123</v>
      </c>
      <c r="N428">
        <v>1562</v>
      </c>
      <c r="O428">
        <v>1685</v>
      </c>
    </row>
    <row r="429" spans="1:15" hidden="1" x14ac:dyDescent="0.25">
      <c r="A429" s="1">
        <v>40612</v>
      </c>
      <c r="B429">
        <v>1</v>
      </c>
      <c r="C429">
        <v>0</v>
      </c>
      <c r="D429">
        <v>3</v>
      </c>
      <c r="E429">
        <v>0</v>
      </c>
      <c r="F429">
        <v>4</v>
      </c>
      <c r="G429">
        <v>1</v>
      </c>
      <c r="H429">
        <v>3</v>
      </c>
      <c r="I429">
        <v>389091</v>
      </c>
      <c r="J429">
        <v>385668</v>
      </c>
      <c r="K429">
        <v>0</v>
      </c>
      <c r="L429">
        <v>261877</v>
      </c>
      <c r="M429">
        <v>46</v>
      </c>
      <c r="N429">
        <v>577</v>
      </c>
      <c r="O429">
        <v>623</v>
      </c>
    </row>
    <row r="430" spans="1:15" hidden="1" x14ac:dyDescent="0.25">
      <c r="A430" s="1">
        <v>40619</v>
      </c>
      <c r="B430">
        <v>1</v>
      </c>
      <c r="C430">
        <v>0</v>
      </c>
      <c r="D430">
        <v>3</v>
      </c>
      <c r="E430">
        <v>0</v>
      </c>
      <c r="F430">
        <v>4</v>
      </c>
      <c r="G430">
        <v>1</v>
      </c>
      <c r="H430">
        <v>1</v>
      </c>
      <c r="I430">
        <v>415</v>
      </c>
      <c r="J430">
        <v>410333</v>
      </c>
      <c r="K430">
        <v>602917</v>
      </c>
      <c r="L430">
        <v>209579</v>
      </c>
      <c r="M430">
        <v>424</v>
      </c>
      <c r="N430">
        <v>2320</v>
      </c>
      <c r="O430">
        <v>2744</v>
      </c>
    </row>
    <row r="431" spans="1:15" hidden="1" x14ac:dyDescent="0.25">
      <c r="A431" s="1">
        <v>40626</v>
      </c>
      <c r="B431">
        <v>2</v>
      </c>
      <c r="C431">
        <v>0</v>
      </c>
      <c r="D431">
        <v>3</v>
      </c>
      <c r="E431">
        <v>0</v>
      </c>
      <c r="F431">
        <v>4</v>
      </c>
      <c r="G431">
        <v>1</v>
      </c>
      <c r="H431">
        <v>2</v>
      </c>
      <c r="I431">
        <v>285</v>
      </c>
      <c r="J431">
        <v>270833</v>
      </c>
      <c r="K431">
        <v>805833</v>
      </c>
      <c r="L431">
        <v>243787</v>
      </c>
      <c r="M431">
        <v>166</v>
      </c>
      <c r="N431">
        <v>1699</v>
      </c>
      <c r="O431">
        <v>1865</v>
      </c>
    </row>
    <row r="432" spans="1:15" hidden="1" x14ac:dyDescent="0.25">
      <c r="A432" s="1">
        <v>40633</v>
      </c>
      <c r="B432">
        <v>2</v>
      </c>
      <c r="C432">
        <v>0</v>
      </c>
      <c r="D432">
        <v>3</v>
      </c>
      <c r="E432">
        <v>0</v>
      </c>
      <c r="F432">
        <v>4</v>
      </c>
      <c r="G432">
        <v>1</v>
      </c>
      <c r="H432">
        <v>3</v>
      </c>
      <c r="I432">
        <v>268333</v>
      </c>
      <c r="J432">
        <v>257575</v>
      </c>
      <c r="K432">
        <v>918333</v>
      </c>
      <c r="L432">
        <v>217646</v>
      </c>
      <c r="M432">
        <v>179</v>
      </c>
      <c r="N432">
        <v>1506</v>
      </c>
      <c r="O432">
        <v>1685</v>
      </c>
    </row>
    <row r="433" spans="1:15" hidden="1" x14ac:dyDescent="0.25">
      <c r="A433" s="1">
        <v>40640</v>
      </c>
      <c r="B433">
        <v>2</v>
      </c>
      <c r="C433">
        <v>0</v>
      </c>
      <c r="D433">
        <v>4</v>
      </c>
      <c r="E433">
        <v>0</v>
      </c>
      <c r="F433">
        <v>4</v>
      </c>
      <c r="G433">
        <v>1</v>
      </c>
      <c r="H433">
        <v>1</v>
      </c>
      <c r="I433">
        <v>4375</v>
      </c>
      <c r="J433">
        <v>433696</v>
      </c>
      <c r="K433">
        <v>602917</v>
      </c>
      <c r="L433">
        <v>162312</v>
      </c>
      <c r="M433">
        <v>571</v>
      </c>
      <c r="N433">
        <v>2570</v>
      </c>
      <c r="O433">
        <v>3141</v>
      </c>
    </row>
    <row r="434" spans="1:15" hidden="1" x14ac:dyDescent="0.25">
      <c r="A434" s="1">
        <v>40647</v>
      </c>
      <c r="B434">
        <v>2</v>
      </c>
      <c r="C434">
        <v>0</v>
      </c>
      <c r="D434">
        <v>4</v>
      </c>
      <c r="E434">
        <v>0</v>
      </c>
      <c r="F434">
        <v>4</v>
      </c>
      <c r="G434">
        <v>1</v>
      </c>
      <c r="H434">
        <v>1</v>
      </c>
      <c r="I434">
        <v>4675</v>
      </c>
      <c r="J434">
        <v>462742</v>
      </c>
      <c r="K434">
        <v>540417</v>
      </c>
      <c r="L434">
        <v>1107</v>
      </c>
      <c r="M434">
        <v>529</v>
      </c>
      <c r="N434">
        <v>2738</v>
      </c>
      <c r="O434">
        <v>3267</v>
      </c>
    </row>
    <row r="435" spans="1:15" hidden="1" x14ac:dyDescent="0.25">
      <c r="A435" s="1">
        <v>40654</v>
      </c>
      <c r="B435">
        <v>2</v>
      </c>
      <c r="C435">
        <v>0</v>
      </c>
      <c r="D435">
        <v>4</v>
      </c>
      <c r="E435">
        <v>0</v>
      </c>
      <c r="F435">
        <v>4</v>
      </c>
      <c r="G435">
        <v>1</v>
      </c>
      <c r="H435">
        <v>1</v>
      </c>
      <c r="I435">
        <v>459167</v>
      </c>
      <c r="J435">
        <v>453892</v>
      </c>
      <c r="K435">
        <v>407083</v>
      </c>
      <c r="L435">
        <v>325258</v>
      </c>
      <c r="M435">
        <v>745</v>
      </c>
      <c r="N435">
        <v>3444</v>
      </c>
      <c r="O435">
        <v>4189</v>
      </c>
    </row>
    <row r="436" spans="1:15" hidden="1" x14ac:dyDescent="0.25">
      <c r="A436" s="1">
        <v>40661</v>
      </c>
      <c r="B436">
        <v>2</v>
      </c>
      <c r="C436">
        <v>0</v>
      </c>
      <c r="D436">
        <v>4</v>
      </c>
      <c r="E436">
        <v>0</v>
      </c>
      <c r="F436">
        <v>4</v>
      </c>
      <c r="G436">
        <v>1</v>
      </c>
      <c r="H436">
        <v>2</v>
      </c>
      <c r="I436">
        <v>6175</v>
      </c>
      <c r="J436">
        <v>578929</v>
      </c>
      <c r="K436">
        <v>700833</v>
      </c>
      <c r="L436">
        <v>320908</v>
      </c>
      <c r="M436">
        <v>569</v>
      </c>
      <c r="N436">
        <v>3489</v>
      </c>
      <c r="O436">
        <v>4058</v>
      </c>
    </row>
    <row r="437" spans="1:15" hidden="1" x14ac:dyDescent="0.25">
      <c r="A437" s="1">
        <v>40668</v>
      </c>
      <c r="B437">
        <v>2</v>
      </c>
      <c r="C437">
        <v>0</v>
      </c>
      <c r="D437">
        <v>5</v>
      </c>
      <c r="E437">
        <v>0</v>
      </c>
      <c r="F437">
        <v>4</v>
      </c>
      <c r="G437">
        <v>1</v>
      </c>
      <c r="H437">
        <v>1</v>
      </c>
      <c r="I437">
        <v>459167</v>
      </c>
      <c r="J437">
        <v>441917</v>
      </c>
      <c r="K437">
        <v>444167</v>
      </c>
      <c r="L437">
        <v>295392</v>
      </c>
      <c r="M437">
        <v>614</v>
      </c>
      <c r="N437">
        <v>3819</v>
      </c>
      <c r="O437">
        <v>4433</v>
      </c>
    </row>
    <row r="438" spans="1:15" hidden="1" x14ac:dyDescent="0.25">
      <c r="A438" s="1">
        <v>40675</v>
      </c>
      <c r="B438">
        <v>2</v>
      </c>
      <c r="C438">
        <v>0</v>
      </c>
      <c r="D438">
        <v>5</v>
      </c>
      <c r="E438">
        <v>0</v>
      </c>
      <c r="F438">
        <v>4</v>
      </c>
      <c r="G438">
        <v>1</v>
      </c>
      <c r="H438">
        <v>1</v>
      </c>
      <c r="I438">
        <v>535</v>
      </c>
      <c r="J438">
        <v>523363</v>
      </c>
      <c r="K438">
        <v>7475</v>
      </c>
      <c r="L438">
        <v>189667</v>
      </c>
      <c r="M438">
        <v>695</v>
      </c>
      <c r="N438">
        <v>4169</v>
      </c>
      <c r="O438">
        <v>4864</v>
      </c>
    </row>
    <row r="439" spans="1:15" hidden="1" x14ac:dyDescent="0.25">
      <c r="A439" s="1">
        <v>40682</v>
      </c>
      <c r="B439">
        <v>2</v>
      </c>
      <c r="C439">
        <v>0</v>
      </c>
      <c r="D439">
        <v>5</v>
      </c>
      <c r="E439">
        <v>0</v>
      </c>
      <c r="F439">
        <v>4</v>
      </c>
      <c r="G439">
        <v>1</v>
      </c>
      <c r="H439">
        <v>2</v>
      </c>
      <c r="I439">
        <v>530833</v>
      </c>
      <c r="J439">
        <v>510742</v>
      </c>
      <c r="K439">
        <v>829583</v>
      </c>
      <c r="L439">
        <v>108213</v>
      </c>
      <c r="M439">
        <v>735</v>
      </c>
      <c r="N439">
        <v>3840</v>
      </c>
      <c r="O439">
        <v>4575</v>
      </c>
    </row>
    <row r="440" spans="1:15" hidden="1" x14ac:dyDescent="0.25">
      <c r="A440" s="1">
        <v>40689</v>
      </c>
      <c r="B440">
        <v>2</v>
      </c>
      <c r="C440">
        <v>0</v>
      </c>
      <c r="D440">
        <v>5</v>
      </c>
      <c r="E440">
        <v>0</v>
      </c>
      <c r="F440">
        <v>4</v>
      </c>
      <c r="G440">
        <v>1</v>
      </c>
      <c r="H440">
        <v>1</v>
      </c>
      <c r="I440">
        <v>708333</v>
      </c>
      <c r="J440">
        <v>654688</v>
      </c>
      <c r="K440">
        <v>6775</v>
      </c>
      <c r="L440">
        <v>199642</v>
      </c>
      <c r="M440">
        <v>758</v>
      </c>
      <c r="N440">
        <v>3919</v>
      </c>
      <c r="O440">
        <v>4677</v>
      </c>
    </row>
    <row r="441" spans="1:15" hidden="1" x14ac:dyDescent="0.25">
      <c r="A441" s="1">
        <v>40696</v>
      </c>
      <c r="B441">
        <v>2</v>
      </c>
      <c r="C441">
        <v>0</v>
      </c>
      <c r="D441">
        <v>6</v>
      </c>
      <c r="E441">
        <v>0</v>
      </c>
      <c r="F441">
        <v>4</v>
      </c>
      <c r="G441">
        <v>1</v>
      </c>
      <c r="H441">
        <v>1</v>
      </c>
      <c r="I441">
        <v>715</v>
      </c>
      <c r="J441">
        <v>643942</v>
      </c>
      <c r="K441">
        <v>305</v>
      </c>
      <c r="L441">
        <v>292287</v>
      </c>
      <c r="M441">
        <v>736</v>
      </c>
      <c r="N441">
        <v>4232</v>
      </c>
      <c r="O441">
        <v>4968</v>
      </c>
    </row>
    <row r="442" spans="1:15" hidden="1" x14ac:dyDescent="0.25">
      <c r="A442" s="1">
        <v>40703</v>
      </c>
      <c r="B442">
        <v>2</v>
      </c>
      <c r="C442">
        <v>0</v>
      </c>
      <c r="D442">
        <v>6</v>
      </c>
      <c r="E442">
        <v>0</v>
      </c>
      <c r="F442">
        <v>4</v>
      </c>
      <c r="G442">
        <v>1</v>
      </c>
      <c r="H442">
        <v>2</v>
      </c>
      <c r="I442">
        <v>808333</v>
      </c>
      <c r="J442">
        <v>757579</v>
      </c>
      <c r="K442">
        <v>568333</v>
      </c>
      <c r="L442">
        <v>149883</v>
      </c>
      <c r="M442">
        <v>563</v>
      </c>
      <c r="N442">
        <v>3352</v>
      </c>
      <c r="O442">
        <v>3915</v>
      </c>
    </row>
    <row r="443" spans="1:15" hidden="1" x14ac:dyDescent="0.25">
      <c r="A443" s="1">
        <v>40710</v>
      </c>
      <c r="B443">
        <v>2</v>
      </c>
      <c r="C443">
        <v>0</v>
      </c>
      <c r="D443">
        <v>6</v>
      </c>
      <c r="E443">
        <v>0</v>
      </c>
      <c r="F443">
        <v>4</v>
      </c>
      <c r="G443">
        <v>1</v>
      </c>
      <c r="H443">
        <v>2</v>
      </c>
      <c r="I443">
        <v>628333</v>
      </c>
      <c r="J443">
        <v>595346</v>
      </c>
      <c r="K443">
        <v>688333</v>
      </c>
      <c r="L443">
        <v>206471</v>
      </c>
      <c r="M443">
        <v>545</v>
      </c>
      <c r="N443">
        <v>3222</v>
      </c>
      <c r="O443">
        <v>3767</v>
      </c>
    </row>
    <row r="444" spans="1:15" hidden="1" x14ac:dyDescent="0.25">
      <c r="A444" s="1">
        <v>40717</v>
      </c>
      <c r="B444">
        <v>3</v>
      </c>
      <c r="C444">
        <v>0</v>
      </c>
      <c r="D444">
        <v>6</v>
      </c>
      <c r="E444">
        <v>0</v>
      </c>
      <c r="F444">
        <v>4</v>
      </c>
      <c r="G444">
        <v>1</v>
      </c>
      <c r="H444">
        <v>2</v>
      </c>
      <c r="I444">
        <v>728333</v>
      </c>
      <c r="J444">
        <v>693833</v>
      </c>
      <c r="K444">
        <v>703333</v>
      </c>
      <c r="L444">
        <v>238804</v>
      </c>
      <c r="M444">
        <v>746</v>
      </c>
      <c r="N444">
        <v>4044</v>
      </c>
      <c r="O444">
        <v>4790</v>
      </c>
    </row>
    <row r="445" spans="1:15" hidden="1" x14ac:dyDescent="0.25">
      <c r="A445" s="1">
        <v>40724</v>
      </c>
      <c r="B445">
        <v>3</v>
      </c>
      <c r="C445">
        <v>0</v>
      </c>
      <c r="D445">
        <v>6</v>
      </c>
      <c r="E445">
        <v>0</v>
      </c>
      <c r="F445">
        <v>4</v>
      </c>
      <c r="G445">
        <v>1</v>
      </c>
      <c r="H445">
        <v>1</v>
      </c>
      <c r="I445">
        <v>696667</v>
      </c>
      <c r="J445">
        <v>637008</v>
      </c>
      <c r="K445">
        <v>434167</v>
      </c>
      <c r="L445">
        <v>185312</v>
      </c>
      <c r="M445">
        <v>1027</v>
      </c>
      <c r="N445">
        <v>4488</v>
      </c>
      <c r="O445">
        <v>5515</v>
      </c>
    </row>
    <row r="446" spans="1:15" hidden="1" x14ac:dyDescent="0.25">
      <c r="A446" s="1">
        <v>40731</v>
      </c>
      <c r="B446">
        <v>3</v>
      </c>
      <c r="C446">
        <v>0</v>
      </c>
      <c r="D446">
        <v>7</v>
      </c>
      <c r="E446">
        <v>0</v>
      </c>
      <c r="F446">
        <v>4</v>
      </c>
      <c r="G446">
        <v>1</v>
      </c>
      <c r="H446">
        <v>1</v>
      </c>
      <c r="I446">
        <v>75</v>
      </c>
      <c r="J446">
        <v>686871</v>
      </c>
      <c r="K446">
        <v>65125</v>
      </c>
      <c r="L446">
        <v>1592</v>
      </c>
      <c r="M446">
        <v>754</v>
      </c>
      <c r="N446">
        <v>3838</v>
      </c>
      <c r="O446">
        <v>4592</v>
      </c>
    </row>
    <row r="447" spans="1:15" hidden="1" x14ac:dyDescent="0.25">
      <c r="A447" s="1">
        <v>40738</v>
      </c>
      <c r="B447">
        <v>3</v>
      </c>
      <c r="C447">
        <v>0</v>
      </c>
      <c r="D447">
        <v>7</v>
      </c>
      <c r="E447">
        <v>0</v>
      </c>
      <c r="F447">
        <v>4</v>
      </c>
      <c r="G447">
        <v>1</v>
      </c>
      <c r="H447">
        <v>1</v>
      </c>
      <c r="I447">
        <v>680833</v>
      </c>
      <c r="J447">
        <v>635104</v>
      </c>
      <c r="K447">
        <v>47625</v>
      </c>
      <c r="L447">
        <v>240667</v>
      </c>
      <c r="M447">
        <v>888</v>
      </c>
      <c r="N447">
        <v>4196</v>
      </c>
      <c r="O447">
        <v>5084</v>
      </c>
    </row>
    <row r="448" spans="1:15" hidden="1" x14ac:dyDescent="0.25">
      <c r="A448" s="1">
        <v>40745</v>
      </c>
      <c r="B448">
        <v>3</v>
      </c>
      <c r="C448">
        <v>0</v>
      </c>
      <c r="D448">
        <v>7</v>
      </c>
      <c r="E448">
        <v>0</v>
      </c>
      <c r="F448">
        <v>4</v>
      </c>
      <c r="G448">
        <v>1</v>
      </c>
      <c r="H448">
        <v>2</v>
      </c>
      <c r="I448">
        <v>815</v>
      </c>
      <c r="J448">
        <v>826371</v>
      </c>
      <c r="K448">
        <v>69125</v>
      </c>
      <c r="L448">
        <v>222021</v>
      </c>
      <c r="M448">
        <v>632</v>
      </c>
      <c r="N448">
        <v>3152</v>
      </c>
      <c r="O448">
        <v>3784</v>
      </c>
    </row>
    <row r="449" spans="1:15" hidden="1" x14ac:dyDescent="0.25">
      <c r="A449" s="1">
        <v>40752</v>
      </c>
      <c r="B449">
        <v>3</v>
      </c>
      <c r="C449">
        <v>0</v>
      </c>
      <c r="D449">
        <v>7</v>
      </c>
      <c r="E449">
        <v>0</v>
      </c>
      <c r="F449">
        <v>4</v>
      </c>
      <c r="G449">
        <v>1</v>
      </c>
      <c r="H449">
        <v>1</v>
      </c>
      <c r="I449">
        <v>779167</v>
      </c>
      <c r="J449">
        <v>7399</v>
      </c>
      <c r="K449">
        <v>583333</v>
      </c>
      <c r="L449">
        <v>178479</v>
      </c>
      <c r="M449">
        <v>606</v>
      </c>
      <c r="N449">
        <v>3784</v>
      </c>
      <c r="O449">
        <v>4390</v>
      </c>
    </row>
    <row r="450" spans="1:15" hidden="1" x14ac:dyDescent="0.25">
      <c r="A450" s="1">
        <v>40759</v>
      </c>
      <c r="B450">
        <v>3</v>
      </c>
      <c r="C450">
        <v>0</v>
      </c>
      <c r="D450">
        <v>8</v>
      </c>
      <c r="E450">
        <v>0</v>
      </c>
      <c r="F450">
        <v>4</v>
      </c>
      <c r="G450">
        <v>1</v>
      </c>
      <c r="H450">
        <v>2</v>
      </c>
      <c r="I450">
        <v>71</v>
      </c>
      <c r="J450">
        <v>664788</v>
      </c>
      <c r="K450">
        <v>7575</v>
      </c>
      <c r="L450">
        <v>19715</v>
      </c>
      <c r="M450">
        <v>799</v>
      </c>
      <c r="N450">
        <v>3777</v>
      </c>
      <c r="O450">
        <v>4576</v>
      </c>
    </row>
    <row r="451" spans="1:15" hidden="1" x14ac:dyDescent="0.25">
      <c r="A451" s="1">
        <v>40766</v>
      </c>
      <c r="B451">
        <v>3</v>
      </c>
      <c r="C451">
        <v>0</v>
      </c>
      <c r="D451">
        <v>8</v>
      </c>
      <c r="E451">
        <v>0</v>
      </c>
      <c r="F451">
        <v>4</v>
      </c>
      <c r="G451">
        <v>1</v>
      </c>
      <c r="H451">
        <v>1</v>
      </c>
      <c r="I451">
        <v>7175</v>
      </c>
      <c r="J451">
        <v>651521</v>
      </c>
      <c r="K451">
        <v>42375</v>
      </c>
      <c r="L451">
        <v>164796</v>
      </c>
      <c r="M451">
        <v>812</v>
      </c>
      <c r="N451">
        <v>3980</v>
      </c>
      <c r="O451">
        <v>4792</v>
      </c>
    </row>
    <row r="452" spans="1:15" hidden="1" x14ac:dyDescent="0.25">
      <c r="A452" s="1">
        <v>40773</v>
      </c>
      <c r="B452">
        <v>3</v>
      </c>
      <c r="C452">
        <v>0</v>
      </c>
      <c r="D452">
        <v>8</v>
      </c>
      <c r="E452">
        <v>0</v>
      </c>
      <c r="F452">
        <v>4</v>
      </c>
      <c r="G452">
        <v>1</v>
      </c>
      <c r="H452">
        <v>1</v>
      </c>
      <c r="I452">
        <v>711667</v>
      </c>
      <c r="J452">
        <v>662258</v>
      </c>
      <c r="K452">
        <v>654583</v>
      </c>
      <c r="L452">
        <v>233208</v>
      </c>
      <c r="M452">
        <v>639</v>
      </c>
      <c r="N452">
        <v>3166</v>
      </c>
      <c r="O452">
        <v>3805</v>
      </c>
    </row>
    <row r="453" spans="1:15" hidden="1" x14ac:dyDescent="0.25">
      <c r="A453" s="1">
        <v>40780</v>
      </c>
      <c r="B453">
        <v>3</v>
      </c>
      <c r="C453">
        <v>0</v>
      </c>
      <c r="D453">
        <v>8</v>
      </c>
      <c r="E453">
        <v>0</v>
      </c>
      <c r="F453">
        <v>4</v>
      </c>
      <c r="G453">
        <v>1</v>
      </c>
      <c r="H453">
        <v>2</v>
      </c>
      <c r="I453">
        <v>684167</v>
      </c>
      <c r="J453">
        <v>645854</v>
      </c>
      <c r="K453">
        <v>771667</v>
      </c>
      <c r="L453">
        <v>210833</v>
      </c>
      <c r="M453">
        <v>435</v>
      </c>
      <c r="N453">
        <v>3107</v>
      </c>
      <c r="O453">
        <v>3542</v>
      </c>
    </row>
    <row r="454" spans="1:15" hidden="1" x14ac:dyDescent="0.25">
      <c r="A454" s="1">
        <v>40787</v>
      </c>
      <c r="B454">
        <v>3</v>
      </c>
      <c r="C454">
        <v>0</v>
      </c>
      <c r="D454">
        <v>9</v>
      </c>
      <c r="E454">
        <v>0</v>
      </c>
      <c r="F454">
        <v>4</v>
      </c>
      <c r="G454">
        <v>1</v>
      </c>
      <c r="H454">
        <v>1</v>
      </c>
      <c r="I454">
        <v>655</v>
      </c>
      <c r="J454">
        <v>614921</v>
      </c>
      <c r="K454">
        <v>639167</v>
      </c>
      <c r="L454">
        <v>141796</v>
      </c>
      <c r="M454">
        <v>783</v>
      </c>
      <c r="N454">
        <v>4332</v>
      </c>
      <c r="O454">
        <v>5115</v>
      </c>
    </row>
    <row r="455" spans="1:15" hidden="1" x14ac:dyDescent="0.25">
      <c r="A455" s="1">
        <v>40794</v>
      </c>
      <c r="B455">
        <v>3</v>
      </c>
      <c r="C455">
        <v>0</v>
      </c>
      <c r="D455">
        <v>9</v>
      </c>
      <c r="E455">
        <v>0</v>
      </c>
      <c r="F455">
        <v>4</v>
      </c>
      <c r="G455">
        <v>1</v>
      </c>
      <c r="H455">
        <v>3</v>
      </c>
      <c r="I455">
        <v>633913</v>
      </c>
      <c r="J455">
        <v>555361</v>
      </c>
      <c r="K455">
        <v>939565</v>
      </c>
      <c r="L455">
        <v>192748</v>
      </c>
      <c r="M455">
        <v>153</v>
      </c>
      <c r="N455">
        <v>1689</v>
      </c>
      <c r="O455">
        <v>1842</v>
      </c>
    </row>
    <row r="456" spans="1:15" hidden="1" x14ac:dyDescent="0.25">
      <c r="A456" s="1">
        <v>40801</v>
      </c>
      <c r="B456">
        <v>3</v>
      </c>
      <c r="C456">
        <v>0</v>
      </c>
      <c r="D456">
        <v>9</v>
      </c>
      <c r="E456">
        <v>0</v>
      </c>
      <c r="F456">
        <v>4</v>
      </c>
      <c r="G456">
        <v>1</v>
      </c>
      <c r="H456">
        <v>2</v>
      </c>
      <c r="I456">
        <v>5775</v>
      </c>
      <c r="J456">
        <v>553671</v>
      </c>
      <c r="K456">
        <v>709167</v>
      </c>
      <c r="L456">
        <v>271146</v>
      </c>
      <c r="M456">
        <v>428</v>
      </c>
      <c r="N456">
        <v>3231</v>
      </c>
      <c r="O456">
        <v>3659</v>
      </c>
    </row>
    <row r="457" spans="1:15" hidden="1" x14ac:dyDescent="0.25">
      <c r="A457" s="1">
        <v>40808</v>
      </c>
      <c r="B457">
        <v>3</v>
      </c>
      <c r="C457">
        <v>0</v>
      </c>
      <c r="D457">
        <v>9</v>
      </c>
      <c r="E457">
        <v>0</v>
      </c>
      <c r="F457">
        <v>4</v>
      </c>
      <c r="G457">
        <v>1</v>
      </c>
      <c r="H457">
        <v>2</v>
      </c>
      <c r="I457">
        <v>628333</v>
      </c>
      <c r="J457">
        <v>554963</v>
      </c>
      <c r="K457">
        <v>902083</v>
      </c>
      <c r="L457">
        <v>128125</v>
      </c>
      <c r="M457">
        <v>555</v>
      </c>
      <c r="N457">
        <v>4240</v>
      </c>
      <c r="O457">
        <v>4795</v>
      </c>
    </row>
    <row r="458" spans="1:15" hidden="1" x14ac:dyDescent="0.25">
      <c r="A458" s="1">
        <v>40815</v>
      </c>
      <c r="B458">
        <v>4</v>
      </c>
      <c r="C458">
        <v>0</v>
      </c>
      <c r="D458">
        <v>9</v>
      </c>
      <c r="E458">
        <v>0</v>
      </c>
      <c r="F458">
        <v>4</v>
      </c>
      <c r="G458">
        <v>1</v>
      </c>
      <c r="H458">
        <v>1</v>
      </c>
      <c r="I458">
        <v>616667</v>
      </c>
      <c r="J458">
        <v>574512</v>
      </c>
      <c r="K458">
        <v>699167</v>
      </c>
      <c r="L458">
        <v>172883</v>
      </c>
      <c r="M458">
        <v>653</v>
      </c>
      <c r="N458">
        <v>4186</v>
      </c>
      <c r="O458">
        <v>4839</v>
      </c>
    </row>
    <row r="459" spans="1:15" hidden="1" x14ac:dyDescent="0.25">
      <c r="A459" s="1">
        <v>40822</v>
      </c>
      <c r="B459">
        <v>4</v>
      </c>
      <c r="C459">
        <v>0</v>
      </c>
      <c r="D459">
        <v>10</v>
      </c>
      <c r="E459">
        <v>0</v>
      </c>
      <c r="F459">
        <v>4</v>
      </c>
      <c r="G459">
        <v>1</v>
      </c>
      <c r="H459">
        <v>1</v>
      </c>
      <c r="I459">
        <v>494167</v>
      </c>
      <c r="J459">
        <v>480425</v>
      </c>
      <c r="K459">
        <v>620833</v>
      </c>
      <c r="L459">
        <v>134954</v>
      </c>
      <c r="M459">
        <v>639</v>
      </c>
      <c r="N459">
        <v>4126</v>
      </c>
      <c r="O459">
        <v>4765</v>
      </c>
    </row>
    <row r="460" spans="1:15" hidden="1" x14ac:dyDescent="0.25">
      <c r="A460" s="1">
        <v>40829</v>
      </c>
      <c r="B460">
        <v>4</v>
      </c>
      <c r="C460">
        <v>0</v>
      </c>
      <c r="D460">
        <v>10</v>
      </c>
      <c r="E460">
        <v>0</v>
      </c>
      <c r="F460">
        <v>4</v>
      </c>
      <c r="G460">
        <v>1</v>
      </c>
      <c r="H460">
        <v>2</v>
      </c>
      <c r="I460">
        <v>589167</v>
      </c>
      <c r="J460">
        <v>551804</v>
      </c>
      <c r="K460">
        <v>896667</v>
      </c>
      <c r="L460">
        <v>141787</v>
      </c>
      <c r="M460">
        <v>290</v>
      </c>
      <c r="N460">
        <v>2623</v>
      </c>
      <c r="O460">
        <v>2913</v>
      </c>
    </row>
    <row r="461" spans="1:15" hidden="1" x14ac:dyDescent="0.25">
      <c r="A461" s="1">
        <v>40836</v>
      </c>
      <c r="B461">
        <v>4</v>
      </c>
      <c r="C461">
        <v>0</v>
      </c>
      <c r="D461">
        <v>10</v>
      </c>
      <c r="E461">
        <v>0</v>
      </c>
      <c r="F461">
        <v>4</v>
      </c>
      <c r="G461">
        <v>1</v>
      </c>
      <c r="H461">
        <v>1</v>
      </c>
      <c r="I461">
        <v>475833</v>
      </c>
      <c r="J461">
        <v>466525</v>
      </c>
      <c r="K461">
        <v>63625</v>
      </c>
      <c r="L461">
        <v>422275</v>
      </c>
      <c r="M461">
        <v>471</v>
      </c>
      <c r="N461">
        <v>3724</v>
      </c>
      <c r="O461">
        <v>4195</v>
      </c>
    </row>
    <row r="462" spans="1:15" hidden="1" x14ac:dyDescent="0.25">
      <c r="A462" s="1">
        <v>40843</v>
      </c>
      <c r="B462">
        <v>4</v>
      </c>
      <c r="C462">
        <v>0</v>
      </c>
      <c r="D462">
        <v>10</v>
      </c>
      <c r="E462">
        <v>0</v>
      </c>
      <c r="F462">
        <v>4</v>
      </c>
      <c r="G462">
        <v>1</v>
      </c>
      <c r="H462">
        <v>2</v>
      </c>
      <c r="I462">
        <v>47</v>
      </c>
      <c r="J462">
        <v>457046</v>
      </c>
      <c r="K462">
        <v>812917</v>
      </c>
      <c r="L462">
        <v>197763</v>
      </c>
      <c r="M462">
        <v>240</v>
      </c>
      <c r="N462">
        <v>2419</v>
      </c>
      <c r="O462">
        <v>2659</v>
      </c>
    </row>
    <row r="463" spans="1:15" hidden="1" x14ac:dyDescent="0.25">
      <c r="A463" s="1">
        <v>40850</v>
      </c>
      <c r="B463">
        <v>4</v>
      </c>
      <c r="C463">
        <v>0</v>
      </c>
      <c r="D463">
        <v>11</v>
      </c>
      <c r="E463">
        <v>0</v>
      </c>
      <c r="F463">
        <v>4</v>
      </c>
      <c r="G463">
        <v>1</v>
      </c>
      <c r="H463">
        <v>1</v>
      </c>
      <c r="I463">
        <v>408333</v>
      </c>
      <c r="J463">
        <v>405921</v>
      </c>
      <c r="K463">
        <v>702083</v>
      </c>
      <c r="L463">
        <v>136817</v>
      </c>
      <c r="M463">
        <v>318</v>
      </c>
      <c r="N463">
        <v>3656</v>
      </c>
      <c r="O463">
        <v>3974</v>
      </c>
    </row>
    <row r="464" spans="1:15" hidden="1" x14ac:dyDescent="0.25">
      <c r="A464" s="1">
        <v>40857</v>
      </c>
      <c r="B464">
        <v>4</v>
      </c>
      <c r="C464">
        <v>0</v>
      </c>
      <c r="D464">
        <v>11</v>
      </c>
      <c r="E464">
        <v>0</v>
      </c>
      <c r="F464">
        <v>4</v>
      </c>
      <c r="G464">
        <v>1</v>
      </c>
      <c r="H464">
        <v>2</v>
      </c>
      <c r="I464">
        <v>38</v>
      </c>
      <c r="J464">
        <v>373721</v>
      </c>
      <c r="K464">
        <v>813333</v>
      </c>
      <c r="L464">
        <v>189067</v>
      </c>
      <c r="M464">
        <v>190</v>
      </c>
      <c r="N464">
        <v>2743</v>
      </c>
      <c r="O464">
        <v>2933</v>
      </c>
    </row>
    <row r="465" spans="1:15" hidden="1" x14ac:dyDescent="0.25">
      <c r="A465" s="1">
        <v>40864</v>
      </c>
      <c r="B465">
        <v>4</v>
      </c>
      <c r="C465">
        <v>0</v>
      </c>
      <c r="D465">
        <v>11</v>
      </c>
      <c r="E465">
        <v>0</v>
      </c>
      <c r="F465">
        <v>4</v>
      </c>
      <c r="G465">
        <v>1</v>
      </c>
      <c r="H465">
        <v>2</v>
      </c>
      <c r="I465">
        <v>341667</v>
      </c>
      <c r="J465">
        <v>323221</v>
      </c>
      <c r="K465">
        <v>575833</v>
      </c>
      <c r="L465">
        <v>305362</v>
      </c>
      <c r="M465">
        <v>139</v>
      </c>
      <c r="N465">
        <v>2914</v>
      </c>
      <c r="O465">
        <v>3053</v>
      </c>
    </row>
    <row r="466" spans="1:15" hidden="1" x14ac:dyDescent="0.25">
      <c r="A466" s="1">
        <v>40871</v>
      </c>
      <c r="B466">
        <v>4</v>
      </c>
      <c r="C466">
        <v>0</v>
      </c>
      <c r="D466">
        <v>11</v>
      </c>
      <c r="E466">
        <v>1</v>
      </c>
      <c r="F466">
        <v>4</v>
      </c>
      <c r="G466">
        <v>0</v>
      </c>
      <c r="H466">
        <v>1</v>
      </c>
      <c r="I466">
        <v>373333</v>
      </c>
      <c r="J466">
        <v>372471</v>
      </c>
      <c r="K466">
        <v>549167</v>
      </c>
      <c r="L466">
        <v>167304</v>
      </c>
      <c r="M466">
        <v>560</v>
      </c>
      <c r="N466">
        <v>935</v>
      </c>
      <c r="O466">
        <v>1495</v>
      </c>
    </row>
    <row r="467" spans="1:15" hidden="1" x14ac:dyDescent="0.25">
      <c r="A467" s="1">
        <v>40878</v>
      </c>
      <c r="B467">
        <v>4</v>
      </c>
      <c r="C467">
        <v>0</v>
      </c>
      <c r="D467">
        <v>12</v>
      </c>
      <c r="E467">
        <v>0</v>
      </c>
      <c r="F467">
        <v>4</v>
      </c>
      <c r="G467">
        <v>1</v>
      </c>
      <c r="H467">
        <v>1</v>
      </c>
      <c r="I467">
        <v>3125</v>
      </c>
      <c r="J467">
        <v>305554</v>
      </c>
      <c r="K467">
        <v>524583</v>
      </c>
      <c r="L467">
        <v>220158</v>
      </c>
      <c r="M467">
        <v>182</v>
      </c>
      <c r="N467">
        <v>3545</v>
      </c>
      <c r="O467">
        <v>3727</v>
      </c>
    </row>
    <row r="468" spans="1:15" hidden="1" x14ac:dyDescent="0.25">
      <c r="A468" s="1">
        <v>40885</v>
      </c>
      <c r="B468">
        <v>4</v>
      </c>
      <c r="C468">
        <v>0</v>
      </c>
      <c r="D468">
        <v>12</v>
      </c>
      <c r="E468">
        <v>0</v>
      </c>
      <c r="F468">
        <v>4</v>
      </c>
      <c r="G468">
        <v>1</v>
      </c>
      <c r="H468">
        <v>1</v>
      </c>
      <c r="I468">
        <v>265833</v>
      </c>
      <c r="J468">
        <v>256938</v>
      </c>
      <c r="K468">
        <v>58</v>
      </c>
      <c r="L468">
        <v>240058</v>
      </c>
      <c r="M468">
        <v>150</v>
      </c>
      <c r="N468">
        <v>3172</v>
      </c>
      <c r="O468">
        <v>3322</v>
      </c>
    </row>
    <row r="469" spans="1:15" hidden="1" x14ac:dyDescent="0.25">
      <c r="A469" s="1">
        <v>40892</v>
      </c>
      <c r="B469">
        <v>4</v>
      </c>
      <c r="C469">
        <v>0</v>
      </c>
      <c r="D469">
        <v>12</v>
      </c>
      <c r="E469">
        <v>0</v>
      </c>
      <c r="F469">
        <v>4</v>
      </c>
      <c r="G469">
        <v>1</v>
      </c>
      <c r="H469">
        <v>2</v>
      </c>
      <c r="I469">
        <v>4225</v>
      </c>
      <c r="J469">
        <v>412237</v>
      </c>
      <c r="K469">
        <v>634167</v>
      </c>
      <c r="L469">
        <v>268042</v>
      </c>
      <c r="M469">
        <v>181</v>
      </c>
      <c r="N469">
        <v>3528</v>
      </c>
      <c r="O469">
        <v>3709</v>
      </c>
    </row>
    <row r="470" spans="1:15" hidden="1" x14ac:dyDescent="0.25">
      <c r="A470" s="1">
        <v>40899</v>
      </c>
      <c r="B470">
        <v>1</v>
      </c>
      <c r="C470">
        <v>0</v>
      </c>
      <c r="D470">
        <v>12</v>
      </c>
      <c r="E470">
        <v>0</v>
      </c>
      <c r="F470">
        <v>4</v>
      </c>
      <c r="G470">
        <v>1</v>
      </c>
      <c r="H470">
        <v>2</v>
      </c>
      <c r="I470">
        <v>423333</v>
      </c>
      <c r="J470">
        <v>426121</v>
      </c>
      <c r="K470">
        <v>7575</v>
      </c>
      <c r="L470">
        <v>47275</v>
      </c>
      <c r="M470">
        <v>227</v>
      </c>
      <c r="N470">
        <v>2841</v>
      </c>
      <c r="O470">
        <v>3068</v>
      </c>
    </row>
    <row r="471" spans="1:15" hidden="1" x14ac:dyDescent="0.25">
      <c r="A471" s="1">
        <v>40906</v>
      </c>
      <c r="B471">
        <v>1</v>
      </c>
      <c r="C471">
        <v>0</v>
      </c>
      <c r="D471">
        <v>12</v>
      </c>
      <c r="E471">
        <v>0</v>
      </c>
      <c r="F471">
        <v>4</v>
      </c>
      <c r="G471">
        <v>1</v>
      </c>
      <c r="H471">
        <v>1</v>
      </c>
      <c r="I471">
        <v>248333</v>
      </c>
      <c r="J471">
        <v>263892</v>
      </c>
      <c r="K471">
        <v>574167</v>
      </c>
      <c r="L471">
        <v>119412</v>
      </c>
      <c r="M471">
        <v>254</v>
      </c>
      <c r="N471">
        <v>2169</v>
      </c>
      <c r="O471">
        <v>2423</v>
      </c>
    </row>
    <row r="472" spans="1:15" hidden="1" x14ac:dyDescent="0.25">
      <c r="A472" s="1">
        <v>40913</v>
      </c>
      <c r="B472">
        <v>1</v>
      </c>
      <c r="C472">
        <v>1</v>
      </c>
      <c r="D472">
        <v>1</v>
      </c>
      <c r="E472">
        <v>0</v>
      </c>
      <c r="F472">
        <v>4</v>
      </c>
      <c r="G472">
        <v>1</v>
      </c>
      <c r="H472">
        <v>1</v>
      </c>
      <c r="I472">
        <v>265833</v>
      </c>
      <c r="J472">
        <v>278412</v>
      </c>
      <c r="K472">
        <v>524167</v>
      </c>
      <c r="L472">
        <v>129987</v>
      </c>
      <c r="M472">
        <v>140</v>
      </c>
      <c r="N472">
        <v>3132</v>
      </c>
      <c r="O472">
        <v>3272</v>
      </c>
    </row>
    <row r="473" spans="1:15" hidden="1" x14ac:dyDescent="0.25">
      <c r="A473" s="1">
        <v>40920</v>
      </c>
      <c r="B473">
        <v>1</v>
      </c>
      <c r="C473">
        <v>1</v>
      </c>
      <c r="D473">
        <v>1</v>
      </c>
      <c r="E473">
        <v>0</v>
      </c>
      <c r="F473">
        <v>4</v>
      </c>
      <c r="G473">
        <v>1</v>
      </c>
      <c r="H473">
        <v>2</v>
      </c>
      <c r="I473">
        <v>3825</v>
      </c>
      <c r="J473">
        <v>381938</v>
      </c>
      <c r="K473">
        <v>802917</v>
      </c>
      <c r="L473">
        <v>180967</v>
      </c>
      <c r="M473">
        <v>269</v>
      </c>
      <c r="N473">
        <v>3828</v>
      </c>
      <c r="O473">
        <v>4097</v>
      </c>
    </row>
    <row r="474" spans="1:15" hidden="1" x14ac:dyDescent="0.25">
      <c r="A474" s="1">
        <v>40927</v>
      </c>
      <c r="B474">
        <v>1</v>
      </c>
      <c r="C474">
        <v>1</v>
      </c>
      <c r="D474">
        <v>1</v>
      </c>
      <c r="E474">
        <v>0</v>
      </c>
      <c r="F474">
        <v>4</v>
      </c>
      <c r="G474">
        <v>1</v>
      </c>
      <c r="H474">
        <v>1</v>
      </c>
      <c r="I474">
        <v>19</v>
      </c>
      <c r="J474">
        <v>190038</v>
      </c>
      <c r="K474">
        <v>4975</v>
      </c>
      <c r="L474">
        <v>220158</v>
      </c>
      <c r="M474">
        <v>130</v>
      </c>
      <c r="N474">
        <v>3162</v>
      </c>
      <c r="O474">
        <v>3292</v>
      </c>
    </row>
    <row r="475" spans="1:15" hidden="1" x14ac:dyDescent="0.25">
      <c r="A475" s="1">
        <v>40934</v>
      </c>
      <c r="B475">
        <v>1</v>
      </c>
      <c r="C475">
        <v>1</v>
      </c>
      <c r="D475">
        <v>1</v>
      </c>
      <c r="E475">
        <v>0</v>
      </c>
      <c r="F475">
        <v>4</v>
      </c>
      <c r="G475">
        <v>1</v>
      </c>
      <c r="H475">
        <v>2</v>
      </c>
      <c r="I475">
        <v>341667</v>
      </c>
      <c r="J475">
        <v>35605</v>
      </c>
      <c r="K475">
        <v>769583</v>
      </c>
      <c r="L475">
        <v>733958</v>
      </c>
      <c r="M475">
        <v>244</v>
      </c>
      <c r="N475">
        <v>3831</v>
      </c>
      <c r="O475">
        <v>4075</v>
      </c>
    </row>
    <row r="476" spans="1:15" hidden="1" x14ac:dyDescent="0.25">
      <c r="A476" s="1">
        <v>40941</v>
      </c>
      <c r="B476">
        <v>1</v>
      </c>
      <c r="C476">
        <v>1</v>
      </c>
      <c r="D476">
        <v>2</v>
      </c>
      <c r="E476">
        <v>0</v>
      </c>
      <c r="F476">
        <v>4</v>
      </c>
      <c r="G476">
        <v>1</v>
      </c>
      <c r="H476">
        <v>2</v>
      </c>
      <c r="I476">
        <v>399167</v>
      </c>
      <c r="J476">
        <v>398971</v>
      </c>
      <c r="K476">
        <v>672917</v>
      </c>
      <c r="L476">
        <v>187187</v>
      </c>
      <c r="M476">
        <v>190</v>
      </c>
      <c r="N476">
        <v>3571</v>
      </c>
      <c r="O476">
        <v>3761</v>
      </c>
    </row>
    <row r="477" spans="1:15" hidden="1" x14ac:dyDescent="0.25">
      <c r="A477" s="1">
        <v>40948</v>
      </c>
      <c r="B477">
        <v>1</v>
      </c>
      <c r="C477">
        <v>1</v>
      </c>
      <c r="D477">
        <v>2</v>
      </c>
      <c r="E477">
        <v>0</v>
      </c>
      <c r="F477">
        <v>4</v>
      </c>
      <c r="G477">
        <v>1</v>
      </c>
      <c r="H477">
        <v>1</v>
      </c>
      <c r="I477">
        <v>265</v>
      </c>
      <c r="J477">
        <v>261988</v>
      </c>
      <c r="K477">
        <v>562083</v>
      </c>
      <c r="L477">
        <v>194037</v>
      </c>
      <c r="M477">
        <v>163</v>
      </c>
      <c r="N477">
        <v>3667</v>
      </c>
      <c r="O477">
        <v>3830</v>
      </c>
    </row>
    <row r="478" spans="1:15" hidden="1" x14ac:dyDescent="0.25">
      <c r="A478" s="1">
        <v>40955</v>
      </c>
      <c r="B478">
        <v>1</v>
      </c>
      <c r="C478">
        <v>1</v>
      </c>
      <c r="D478">
        <v>2</v>
      </c>
      <c r="E478">
        <v>0</v>
      </c>
      <c r="F478">
        <v>4</v>
      </c>
      <c r="G478">
        <v>1</v>
      </c>
      <c r="H478">
        <v>2</v>
      </c>
      <c r="I478">
        <v>316667</v>
      </c>
      <c r="J478">
        <v>330162</v>
      </c>
      <c r="K478">
        <v>752917</v>
      </c>
      <c r="L478">
        <v>91425</v>
      </c>
      <c r="M478">
        <v>74</v>
      </c>
      <c r="N478">
        <v>2931</v>
      </c>
      <c r="O478">
        <v>3005</v>
      </c>
    </row>
    <row r="479" spans="1:15" hidden="1" x14ac:dyDescent="0.25">
      <c r="A479" s="1">
        <v>40962</v>
      </c>
      <c r="B479">
        <v>1</v>
      </c>
      <c r="C479">
        <v>1</v>
      </c>
      <c r="D479">
        <v>2</v>
      </c>
      <c r="E479">
        <v>0</v>
      </c>
      <c r="F479">
        <v>4</v>
      </c>
      <c r="G479">
        <v>1</v>
      </c>
      <c r="H479">
        <v>1</v>
      </c>
      <c r="I479">
        <v>454167</v>
      </c>
      <c r="J479">
        <v>444446</v>
      </c>
      <c r="K479">
        <v>554583</v>
      </c>
      <c r="L479">
        <v>190913</v>
      </c>
      <c r="M479">
        <v>516</v>
      </c>
      <c r="N479">
        <v>4546</v>
      </c>
      <c r="O479">
        <v>5062</v>
      </c>
    </row>
    <row r="480" spans="1:15" hidden="1" x14ac:dyDescent="0.25">
      <c r="A480" s="1">
        <v>40969</v>
      </c>
      <c r="B480">
        <v>1</v>
      </c>
      <c r="C480">
        <v>1</v>
      </c>
      <c r="D480">
        <v>3</v>
      </c>
      <c r="E480">
        <v>0</v>
      </c>
      <c r="F480">
        <v>4</v>
      </c>
      <c r="G480">
        <v>1</v>
      </c>
      <c r="H480">
        <v>1</v>
      </c>
      <c r="I480">
        <v>485833</v>
      </c>
      <c r="J480">
        <v>475371</v>
      </c>
      <c r="K480">
        <v>615417</v>
      </c>
      <c r="L480">
        <v>226987</v>
      </c>
      <c r="M480">
        <v>325</v>
      </c>
      <c r="N480">
        <v>4665</v>
      </c>
      <c r="O480">
        <v>4990</v>
      </c>
    </row>
    <row r="481" spans="1:15" hidden="1" x14ac:dyDescent="0.25">
      <c r="A481" s="1">
        <v>40976</v>
      </c>
      <c r="B481">
        <v>1</v>
      </c>
      <c r="C481">
        <v>1</v>
      </c>
      <c r="D481">
        <v>3</v>
      </c>
      <c r="E481">
        <v>0</v>
      </c>
      <c r="F481">
        <v>4</v>
      </c>
      <c r="G481">
        <v>1</v>
      </c>
      <c r="H481">
        <v>1</v>
      </c>
      <c r="I481">
        <v>5275</v>
      </c>
      <c r="J481">
        <v>524604</v>
      </c>
      <c r="K481">
        <v>5675</v>
      </c>
      <c r="L481">
        <v>441563</v>
      </c>
      <c r="M481">
        <v>486</v>
      </c>
      <c r="N481">
        <v>4896</v>
      </c>
      <c r="O481">
        <v>5382</v>
      </c>
    </row>
    <row r="482" spans="1:15" hidden="1" x14ac:dyDescent="0.25">
      <c r="A482" s="1">
        <v>40983</v>
      </c>
      <c r="B482">
        <v>1</v>
      </c>
      <c r="C482">
        <v>1</v>
      </c>
      <c r="D482">
        <v>3</v>
      </c>
      <c r="E482">
        <v>0</v>
      </c>
      <c r="F482">
        <v>4</v>
      </c>
      <c r="G482">
        <v>1</v>
      </c>
      <c r="H482">
        <v>1</v>
      </c>
      <c r="I482">
        <v>5575</v>
      </c>
      <c r="J482">
        <v>532825</v>
      </c>
      <c r="K482">
        <v>579583</v>
      </c>
      <c r="L482">
        <v>149883</v>
      </c>
      <c r="M482">
        <v>1005</v>
      </c>
      <c r="N482">
        <v>5187</v>
      </c>
      <c r="O482">
        <v>6192</v>
      </c>
    </row>
    <row r="483" spans="1:15" hidden="1" x14ac:dyDescent="0.25">
      <c r="A483" s="1">
        <v>40990</v>
      </c>
      <c r="B483">
        <v>2</v>
      </c>
      <c r="C483">
        <v>1</v>
      </c>
      <c r="D483">
        <v>3</v>
      </c>
      <c r="E483">
        <v>0</v>
      </c>
      <c r="F483">
        <v>4</v>
      </c>
      <c r="G483">
        <v>1</v>
      </c>
      <c r="H483">
        <v>1</v>
      </c>
      <c r="I483">
        <v>554167</v>
      </c>
      <c r="J483">
        <v>531567</v>
      </c>
      <c r="K483">
        <v>83125</v>
      </c>
      <c r="L483">
        <v>117562</v>
      </c>
      <c r="M483">
        <v>1334</v>
      </c>
      <c r="N483">
        <v>5537</v>
      </c>
      <c r="O483">
        <v>6871</v>
      </c>
    </row>
    <row r="484" spans="1:15" hidden="1" x14ac:dyDescent="0.25">
      <c r="A484" s="1">
        <v>40997</v>
      </c>
      <c r="B484">
        <v>2</v>
      </c>
      <c r="C484">
        <v>1</v>
      </c>
      <c r="D484">
        <v>3</v>
      </c>
      <c r="E484">
        <v>0</v>
      </c>
      <c r="F484">
        <v>4</v>
      </c>
      <c r="G484">
        <v>1</v>
      </c>
      <c r="H484">
        <v>1</v>
      </c>
      <c r="I484">
        <v>494167</v>
      </c>
      <c r="J484">
        <v>482304</v>
      </c>
      <c r="K484">
        <v>439167</v>
      </c>
      <c r="L484">
        <v>31965</v>
      </c>
      <c r="M484">
        <v>834</v>
      </c>
      <c r="N484">
        <v>5299</v>
      </c>
      <c r="O484">
        <v>6133</v>
      </c>
    </row>
    <row r="485" spans="1:15" hidden="1" x14ac:dyDescent="0.25">
      <c r="A485" s="1">
        <v>41004</v>
      </c>
      <c r="B485">
        <v>2</v>
      </c>
      <c r="C485">
        <v>1</v>
      </c>
      <c r="D485">
        <v>4</v>
      </c>
      <c r="E485">
        <v>0</v>
      </c>
      <c r="F485">
        <v>4</v>
      </c>
      <c r="G485">
        <v>1</v>
      </c>
      <c r="H485">
        <v>1</v>
      </c>
      <c r="I485">
        <v>435</v>
      </c>
      <c r="J485">
        <v>431163</v>
      </c>
      <c r="K485">
        <v>374167</v>
      </c>
      <c r="L485">
        <v>219529</v>
      </c>
      <c r="M485">
        <v>1192</v>
      </c>
      <c r="N485">
        <v>5265</v>
      </c>
      <c r="O485">
        <v>6457</v>
      </c>
    </row>
    <row r="486" spans="1:15" hidden="1" x14ac:dyDescent="0.25">
      <c r="A486" s="1">
        <v>41011</v>
      </c>
      <c r="B486">
        <v>2</v>
      </c>
      <c r="C486">
        <v>1</v>
      </c>
      <c r="D486">
        <v>4</v>
      </c>
      <c r="E486">
        <v>0</v>
      </c>
      <c r="F486">
        <v>4</v>
      </c>
      <c r="G486">
        <v>1</v>
      </c>
      <c r="H486">
        <v>1</v>
      </c>
      <c r="I486">
        <v>3975</v>
      </c>
      <c r="J486">
        <v>387604</v>
      </c>
      <c r="K486">
        <v>46625</v>
      </c>
      <c r="L486">
        <v>290429</v>
      </c>
      <c r="M486">
        <v>663</v>
      </c>
      <c r="N486">
        <v>4746</v>
      </c>
      <c r="O486">
        <v>5409</v>
      </c>
    </row>
    <row r="487" spans="1:15" hidden="1" x14ac:dyDescent="0.25">
      <c r="A487" s="1">
        <v>41018</v>
      </c>
      <c r="B487">
        <v>2</v>
      </c>
      <c r="C487">
        <v>1</v>
      </c>
      <c r="D487">
        <v>4</v>
      </c>
      <c r="E487">
        <v>0</v>
      </c>
      <c r="F487">
        <v>4</v>
      </c>
      <c r="G487">
        <v>1</v>
      </c>
      <c r="H487">
        <v>1</v>
      </c>
      <c r="I487">
        <v>498333</v>
      </c>
      <c r="J487">
        <v>493046</v>
      </c>
      <c r="K487">
        <v>6125</v>
      </c>
      <c r="L487">
        <v>659292</v>
      </c>
      <c r="M487">
        <v>846</v>
      </c>
      <c r="N487">
        <v>5719</v>
      </c>
      <c r="O487">
        <v>6565</v>
      </c>
    </row>
    <row r="488" spans="1:15" hidden="1" x14ac:dyDescent="0.25">
      <c r="A488" s="1">
        <v>41025</v>
      </c>
      <c r="B488">
        <v>2</v>
      </c>
      <c r="C488">
        <v>1</v>
      </c>
      <c r="D488">
        <v>4</v>
      </c>
      <c r="E488">
        <v>0</v>
      </c>
      <c r="F488">
        <v>4</v>
      </c>
      <c r="G488">
        <v>1</v>
      </c>
      <c r="H488">
        <v>2</v>
      </c>
      <c r="I488">
        <v>498333</v>
      </c>
      <c r="J488">
        <v>483583</v>
      </c>
      <c r="K488">
        <v>756667</v>
      </c>
      <c r="L488">
        <v>176625</v>
      </c>
      <c r="M488">
        <v>475</v>
      </c>
      <c r="N488">
        <v>4551</v>
      </c>
      <c r="O488">
        <v>5026</v>
      </c>
    </row>
    <row r="489" spans="1:15" hidden="1" x14ac:dyDescent="0.25">
      <c r="A489" s="1">
        <v>41032</v>
      </c>
      <c r="B489">
        <v>2</v>
      </c>
      <c r="C489">
        <v>1</v>
      </c>
      <c r="D489">
        <v>5</v>
      </c>
      <c r="E489">
        <v>0</v>
      </c>
      <c r="F489">
        <v>4</v>
      </c>
      <c r="G489">
        <v>1</v>
      </c>
      <c r="H489">
        <v>2</v>
      </c>
      <c r="I489">
        <v>56</v>
      </c>
      <c r="J489">
        <v>537242</v>
      </c>
      <c r="K489">
        <v>768333</v>
      </c>
      <c r="L489">
        <v>133696</v>
      </c>
      <c r="M489">
        <v>764</v>
      </c>
      <c r="N489">
        <v>5657</v>
      </c>
      <c r="O489">
        <v>6421</v>
      </c>
    </row>
    <row r="490" spans="1:15" hidden="1" x14ac:dyDescent="0.25">
      <c r="A490" s="1">
        <v>41039</v>
      </c>
      <c r="B490">
        <v>2</v>
      </c>
      <c r="C490">
        <v>1</v>
      </c>
      <c r="D490">
        <v>5</v>
      </c>
      <c r="E490">
        <v>0</v>
      </c>
      <c r="F490">
        <v>4</v>
      </c>
      <c r="G490">
        <v>1</v>
      </c>
      <c r="H490">
        <v>1</v>
      </c>
      <c r="I490">
        <v>505833</v>
      </c>
      <c r="J490">
        <v>491783</v>
      </c>
      <c r="K490">
        <v>552083</v>
      </c>
      <c r="L490">
        <v>314063</v>
      </c>
      <c r="M490">
        <v>1026</v>
      </c>
      <c r="N490">
        <v>5546</v>
      </c>
      <c r="O490">
        <v>6572</v>
      </c>
    </row>
    <row r="491" spans="1:15" hidden="1" x14ac:dyDescent="0.25">
      <c r="A491" s="1">
        <v>41046</v>
      </c>
      <c r="B491">
        <v>2</v>
      </c>
      <c r="C491">
        <v>1</v>
      </c>
      <c r="D491">
        <v>5</v>
      </c>
      <c r="E491">
        <v>0</v>
      </c>
      <c r="F491">
        <v>4</v>
      </c>
      <c r="G491">
        <v>1</v>
      </c>
      <c r="H491">
        <v>1</v>
      </c>
      <c r="I491">
        <v>593333</v>
      </c>
      <c r="J491">
        <v>572613</v>
      </c>
      <c r="K491">
        <v>52</v>
      </c>
      <c r="L491">
        <v>229475</v>
      </c>
      <c r="M491">
        <v>1242</v>
      </c>
      <c r="N491">
        <v>6142</v>
      </c>
      <c r="O491">
        <v>7384</v>
      </c>
    </row>
    <row r="492" spans="1:15" hidden="1" x14ac:dyDescent="0.25">
      <c r="A492" s="1">
        <v>41053</v>
      </c>
      <c r="B492">
        <v>2</v>
      </c>
      <c r="C492">
        <v>1</v>
      </c>
      <c r="D492">
        <v>5</v>
      </c>
      <c r="E492">
        <v>0</v>
      </c>
      <c r="F492">
        <v>4</v>
      </c>
      <c r="G492">
        <v>1</v>
      </c>
      <c r="H492">
        <v>1</v>
      </c>
      <c r="I492">
        <v>655</v>
      </c>
      <c r="J492">
        <v>6067</v>
      </c>
      <c r="K492">
        <v>716667</v>
      </c>
      <c r="L492">
        <v>172896</v>
      </c>
      <c r="M492">
        <v>1059</v>
      </c>
      <c r="N492">
        <v>5711</v>
      </c>
      <c r="O492">
        <v>6770</v>
      </c>
    </row>
    <row r="493" spans="1:15" hidden="1" x14ac:dyDescent="0.25">
      <c r="A493" s="1">
        <v>41060</v>
      </c>
      <c r="B493">
        <v>2</v>
      </c>
      <c r="C493">
        <v>1</v>
      </c>
      <c r="D493">
        <v>5</v>
      </c>
      <c r="E493">
        <v>0</v>
      </c>
      <c r="F493">
        <v>4</v>
      </c>
      <c r="G493">
        <v>1</v>
      </c>
      <c r="H493">
        <v>1</v>
      </c>
      <c r="I493">
        <v>68</v>
      </c>
      <c r="J493">
        <v>631329</v>
      </c>
      <c r="K493">
        <v>492917</v>
      </c>
      <c r="L493">
        <v>195279</v>
      </c>
      <c r="M493">
        <v>1100</v>
      </c>
      <c r="N493">
        <v>6238</v>
      </c>
      <c r="O493">
        <v>7338</v>
      </c>
    </row>
    <row r="494" spans="1:15" hidden="1" x14ac:dyDescent="0.25">
      <c r="A494" s="1">
        <v>41067</v>
      </c>
      <c r="B494">
        <v>2</v>
      </c>
      <c r="C494">
        <v>1</v>
      </c>
      <c r="D494">
        <v>6</v>
      </c>
      <c r="E494">
        <v>0</v>
      </c>
      <c r="F494">
        <v>4</v>
      </c>
      <c r="G494">
        <v>1</v>
      </c>
      <c r="H494">
        <v>1</v>
      </c>
      <c r="I494">
        <v>6025</v>
      </c>
      <c r="J494">
        <v>569442</v>
      </c>
      <c r="K494">
        <v>567083</v>
      </c>
      <c r="L494">
        <v>15735</v>
      </c>
      <c r="M494">
        <v>1038</v>
      </c>
      <c r="N494">
        <v>6456</v>
      </c>
      <c r="O494">
        <v>7494</v>
      </c>
    </row>
    <row r="495" spans="1:15" hidden="1" x14ac:dyDescent="0.25">
      <c r="A495" s="1">
        <v>41074</v>
      </c>
      <c r="B495">
        <v>2</v>
      </c>
      <c r="C495">
        <v>1</v>
      </c>
      <c r="D495">
        <v>6</v>
      </c>
      <c r="E495">
        <v>0</v>
      </c>
      <c r="F495">
        <v>4</v>
      </c>
      <c r="G495">
        <v>1</v>
      </c>
      <c r="H495">
        <v>1</v>
      </c>
      <c r="I495">
        <v>648333</v>
      </c>
      <c r="J495">
        <v>624383</v>
      </c>
      <c r="K495">
        <v>569583</v>
      </c>
      <c r="L495">
        <v>253733</v>
      </c>
      <c r="M495">
        <v>1180</v>
      </c>
      <c r="N495">
        <v>6183</v>
      </c>
      <c r="O495">
        <v>7363</v>
      </c>
    </row>
    <row r="496" spans="1:15" hidden="1" x14ac:dyDescent="0.25">
      <c r="A496" s="1">
        <v>41081</v>
      </c>
      <c r="B496">
        <v>3</v>
      </c>
      <c r="C496">
        <v>1</v>
      </c>
      <c r="D496">
        <v>6</v>
      </c>
      <c r="E496">
        <v>0</v>
      </c>
      <c r="F496">
        <v>4</v>
      </c>
      <c r="G496">
        <v>1</v>
      </c>
      <c r="H496">
        <v>1</v>
      </c>
      <c r="I496">
        <v>805833</v>
      </c>
      <c r="J496">
        <v>752542</v>
      </c>
      <c r="K496">
        <v>567917</v>
      </c>
      <c r="L496">
        <v>118787</v>
      </c>
      <c r="M496">
        <v>778</v>
      </c>
      <c r="N496">
        <v>5127</v>
      </c>
      <c r="O496">
        <v>5905</v>
      </c>
    </row>
    <row r="497" spans="1:15" hidden="1" x14ac:dyDescent="0.25">
      <c r="A497" s="1">
        <v>41088</v>
      </c>
      <c r="B497">
        <v>3</v>
      </c>
      <c r="C497">
        <v>1</v>
      </c>
      <c r="D497">
        <v>6</v>
      </c>
      <c r="E497">
        <v>0</v>
      </c>
      <c r="F497">
        <v>4</v>
      </c>
      <c r="G497">
        <v>1</v>
      </c>
      <c r="H497">
        <v>1</v>
      </c>
      <c r="I497">
        <v>749167</v>
      </c>
      <c r="J497">
        <v>675512</v>
      </c>
      <c r="K497">
        <v>4225</v>
      </c>
      <c r="L497">
        <v>17165</v>
      </c>
      <c r="M497">
        <v>921</v>
      </c>
      <c r="N497">
        <v>5958</v>
      </c>
      <c r="O497">
        <v>6879</v>
      </c>
    </row>
    <row r="498" spans="1:15" hidden="1" x14ac:dyDescent="0.25">
      <c r="A498" s="1">
        <v>41095</v>
      </c>
      <c r="B498">
        <v>3</v>
      </c>
      <c r="C498">
        <v>1</v>
      </c>
      <c r="D498">
        <v>7</v>
      </c>
      <c r="E498">
        <v>0</v>
      </c>
      <c r="F498">
        <v>4</v>
      </c>
      <c r="G498">
        <v>1</v>
      </c>
      <c r="H498">
        <v>1</v>
      </c>
      <c r="I498">
        <v>8275</v>
      </c>
      <c r="J498">
        <v>761367</v>
      </c>
      <c r="K498">
        <v>457917</v>
      </c>
      <c r="L498">
        <v>194029</v>
      </c>
      <c r="M498">
        <v>1405</v>
      </c>
      <c r="N498">
        <v>4836</v>
      </c>
      <c r="O498">
        <v>6241</v>
      </c>
    </row>
    <row r="499" spans="1:15" hidden="1" x14ac:dyDescent="0.25">
      <c r="A499" s="1">
        <v>41102</v>
      </c>
      <c r="B499">
        <v>3</v>
      </c>
      <c r="C499">
        <v>1</v>
      </c>
      <c r="D499">
        <v>7</v>
      </c>
      <c r="E499">
        <v>0</v>
      </c>
      <c r="F499">
        <v>4</v>
      </c>
      <c r="G499">
        <v>1</v>
      </c>
      <c r="H499">
        <v>1</v>
      </c>
      <c r="I499">
        <v>715833</v>
      </c>
      <c r="J499">
        <v>654683</v>
      </c>
      <c r="K499">
        <v>529583</v>
      </c>
      <c r="L499">
        <v>146775</v>
      </c>
      <c r="M499">
        <v>1032</v>
      </c>
      <c r="N499">
        <v>6414</v>
      </c>
      <c r="O499">
        <v>7446</v>
      </c>
    </row>
    <row r="500" spans="1:15" hidden="1" x14ac:dyDescent="0.25">
      <c r="A500" s="1">
        <v>41109</v>
      </c>
      <c r="B500">
        <v>3</v>
      </c>
      <c r="C500">
        <v>1</v>
      </c>
      <c r="D500">
        <v>7</v>
      </c>
      <c r="E500">
        <v>0</v>
      </c>
      <c r="F500">
        <v>4</v>
      </c>
      <c r="G500">
        <v>1</v>
      </c>
      <c r="H500">
        <v>1</v>
      </c>
      <c r="I500">
        <v>77</v>
      </c>
      <c r="J500">
        <v>714642</v>
      </c>
      <c r="K500">
        <v>600417</v>
      </c>
      <c r="L500">
        <v>165429</v>
      </c>
      <c r="M500">
        <v>888</v>
      </c>
      <c r="N500">
        <v>5703</v>
      </c>
      <c r="O500">
        <v>6591</v>
      </c>
    </row>
    <row r="501" spans="1:15" hidden="1" x14ac:dyDescent="0.25">
      <c r="A501" s="1">
        <v>41116</v>
      </c>
      <c r="B501">
        <v>3</v>
      </c>
      <c r="C501">
        <v>1</v>
      </c>
      <c r="D501">
        <v>7</v>
      </c>
      <c r="E501">
        <v>0</v>
      </c>
      <c r="F501">
        <v>4</v>
      </c>
      <c r="G501">
        <v>1</v>
      </c>
      <c r="H501">
        <v>1</v>
      </c>
      <c r="I501">
        <v>776667</v>
      </c>
      <c r="J501">
        <v>739263</v>
      </c>
      <c r="K501">
        <v>596667</v>
      </c>
      <c r="L501">
        <v>284813</v>
      </c>
      <c r="M501">
        <v>1036</v>
      </c>
      <c r="N501">
        <v>5825</v>
      </c>
      <c r="O501">
        <v>6861</v>
      </c>
    </row>
    <row r="502" spans="1:15" hidden="1" x14ac:dyDescent="0.25">
      <c r="A502" s="1">
        <v>41123</v>
      </c>
      <c r="B502">
        <v>3</v>
      </c>
      <c r="C502">
        <v>1</v>
      </c>
      <c r="D502">
        <v>8</v>
      </c>
      <c r="E502">
        <v>0</v>
      </c>
      <c r="F502">
        <v>4</v>
      </c>
      <c r="G502">
        <v>1</v>
      </c>
      <c r="H502">
        <v>1</v>
      </c>
      <c r="I502">
        <v>7525</v>
      </c>
      <c r="J502">
        <v>707088</v>
      </c>
      <c r="K502">
        <v>659583</v>
      </c>
      <c r="L502">
        <v>129354</v>
      </c>
      <c r="M502">
        <v>983</v>
      </c>
      <c r="N502">
        <v>6278</v>
      </c>
      <c r="O502">
        <v>7261</v>
      </c>
    </row>
    <row r="503" spans="1:15" hidden="1" x14ac:dyDescent="0.25">
      <c r="A503" s="1">
        <v>41130</v>
      </c>
      <c r="B503">
        <v>3</v>
      </c>
      <c r="C503">
        <v>1</v>
      </c>
      <c r="D503">
        <v>8</v>
      </c>
      <c r="E503">
        <v>0</v>
      </c>
      <c r="F503">
        <v>4</v>
      </c>
      <c r="G503">
        <v>1</v>
      </c>
      <c r="H503">
        <v>1</v>
      </c>
      <c r="I503">
        <v>755833</v>
      </c>
      <c r="J503">
        <v>699508</v>
      </c>
      <c r="K503">
        <v>620417</v>
      </c>
      <c r="L503">
        <v>1561</v>
      </c>
      <c r="M503">
        <v>1196</v>
      </c>
      <c r="N503">
        <v>6090</v>
      </c>
      <c r="O503">
        <v>7286</v>
      </c>
    </row>
    <row r="504" spans="1:15" hidden="1" x14ac:dyDescent="0.25">
      <c r="A504" s="1">
        <v>41137</v>
      </c>
      <c r="B504">
        <v>3</v>
      </c>
      <c r="C504">
        <v>1</v>
      </c>
      <c r="D504">
        <v>8</v>
      </c>
      <c r="E504">
        <v>0</v>
      </c>
      <c r="F504">
        <v>4</v>
      </c>
      <c r="G504">
        <v>1</v>
      </c>
      <c r="H504">
        <v>1</v>
      </c>
      <c r="I504">
        <v>719167</v>
      </c>
      <c r="J504">
        <v>654688</v>
      </c>
      <c r="K504">
        <v>519167</v>
      </c>
      <c r="L504">
        <v>141796</v>
      </c>
      <c r="M504">
        <v>1338</v>
      </c>
      <c r="N504">
        <v>6267</v>
      </c>
      <c r="O504">
        <v>7605</v>
      </c>
    </row>
    <row r="505" spans="1:15" hidden="1" x14ac:dyDescent="0.25">
      <c r="A505" s="1">
        <v>41144</v>
      </c>
      <c r="B505">
        <v>3</v>
      </c>
      <c r="C505">
        <v>1</v>
      </c>
      <c r="D505">
        <v>8</v>
      </c>
      <c r="E505">
        <v>0</v>
      </c>
      <c r="F505">
        <v>4</v>
      </c>
      <c r="G505">
        <v>1</v>
      </c>
      <c r="H505">
        <v>1</v>
      </c>
      <c r="I505">
        <v>695833</v>
      </c>
      <c r="J505">
        <v>637008</v>
      </c>
      <c r="K505">
        <v>635833</v>
      </c>
      <c r="L505">
        <v>845958</v>
      </c>
      <c r="M505">
        <v>1363</v>
      </c>
      <c r="N505">
        <v>6402</v>
      </c>
      <c r="O505">
        <v>7765</v>
      </c>
    </row>
    <row r="506" spans="1:15" hidden="1" x14ac:dyDescent="0.25">
      <c r="A506" s="1">
        <v>41151</v>
      </c>
      <c r="B506">
        <v>3</v>
      </c>
      <c r="C506">
        <v>1</v>
      </c>
      <c r="D506">
        <v>8</v>
      </c>
      <c r="E506">
        <v>0</v>
      </c>
      <c r="F506">
        <v>4</v>
      </c>
      <c r="G506">
        <v>1</v>
      </c>
      <c r="H506">
        <v>1</v>
      </c>
      <c r="I506">
        <v>706667</v>
      </c>
      <c r="J506">
        <v>652779</v>
      </c>
      <c r="K506">
        <v>590417</v>
      </c>
      <c r="L506">
        <v>771167</v>
      </c>
      <c r="M506">
        <v>1172</v>
      </c>
      <c r="N506">
        <v>6541</v>
      </c>
      <c r="O506">
        <v>7713</v>
      </c>
    </row>
    <row r="507" spans="1:15" hidden="1" x14ac:dyDescent="0.25">
      <c r="A507" s="1">
        <v>41158</v>
      </c>
      <c r="B507">
        <v>3</v>
      </c>
      <c r="C507">
        <v>1</v>
      </c>
      <c r="D507">
        <v>9</v>
      </c>
      <c r="E507">
        <v>0</v>
      </c>
      <c r="F507">
        <v>4</v>
      </c>
      <c r="G507">
        <v>1</v>
      </c>
      <c r="H507">
        <v>2</v>
      </c>
      <c r="I507">
        <v>696667</v>
      </c>
      <c r="J507">
        <v>655329</v>
      </c>
      <c r="K507">
        <v>810417</v>
      </c>
      <c r="L507">
        <v>142421</v>
      </c>
      <c r="M507">
        <v>611</v>
      </c>
      <c r="N507">
        <v>5592</v>
      </c>
      <c r="O507">
        <v>6203</v>
      </c>
    </row>
    <row r="508" spans="1:15" hidden="1" x14ac:dyDescent="0.25">
      <c r="A508" s="1">
        <v>41165</v>
      </c>
      <c r="B508">
        <v>3</v>
      </c>
      <c r="C508">
        <v>1</v>
      </c>
      <c r="D508">
        <v>9</v>
      </c>
      <c r="E508">
        <v>0</v>
      </c>
      <c r="F508">
        <v>4</v>
      </c>
      <c r="G508">
        <v>1</v>
      </c>
      <c r="H508">
        <v>1</v>
      </c>
      <c r="I508">
        <v>6125</v>
      </c>
      <c r="J508">
        <v>579558</v>
      </c>
      <c r="K508">
        <v>637083</v>
      </c>
      <c r="L508">
        <v>827208</v>
      </c>
      <c r="M508">
        <v>1054</v>
      </c>
      <c r="N508">
        <v>6750</v>
      </c>
      <c r="O508">
        <v>7804</v>
      </c>
    </row>
    <row r="509" spans="1:15" hidden="1" x14ac:dyDescent="0.25">
      <c r="A509" s="1">
        <v>41172</v>
      </c>
      <c r="B509">
        <v>3</v>
      </c>
      <c r="C509">
        <v>1</v>
      </c>
      <c r="D509">
        <v>9</v>
      </c>
      <c r="E509">
        <v>0</v>
      </c>
      <c r="F509">
        <v>4</v>
      </c>
      <c r="G509">
        <v>1</v>
      </c>
      <c r="H509">
        <v>1</v>
      </c>
      <c r="I509">
        <v>546667</v>
      </c>
      <c r="J509">
        <v>532192</v>
      </c>
      <c r="K509">
        <v>618333</v>
      </c>
      <c r="L509">
        <v>118167</v>
      </c>
      <c r="M509">
        <v>939</v>
      </c>
      <c r="N509">
        <v>6781</v>
      </c>
      <c r="O509">
        <v>7720</v>
      </c>
    </row>
    <row r="510" spans="1:15" hidden="1" x14ac:dyDescent="0.25">
      <c r="A510" s="1">
        <v>41179</v>
      </c>
      <c r="B510">
        <v>4</v>
      </c>
      <c r="C510">
        <v>1</v>
      </c>
      <c r="D510">
        <v>9</v>
      </c>
      <c r="E510">
        <v>0</v>
      </c>
      <c r="F510">
        <v>4</v>
      </c>
      <c r="G510">
        <v>1</v>
      </c>
      <c r="H510">
        <v>2</v>
      </c>
      <c r="I510">
        <v>65</v>
      </c>
      <c r="J510">
        <v>607975</v>
      </c>
      <c r="K510">
        <v>690833</v>
      </c>
      <c r="L510">
        <v>134342</v>
      </c>
      <c r="M510">
        <v>751</v>
      </c>
      <c r="N510">
        <v>6642</v>
      </c>
      <c r="O510">
        <v>7393</v>
      </c>
    </row>
    <row r="511" spans="1:15" hidden="1" x14ac:dyDescent="0.25">
      <c r="A511" s="1">
        <v>41186</v>
      </c>
      <c r="B511">
        <v>4</v>
      </c>
      <c r="C511">
        <v>1</v>
      </c>
      <c r="D511">
        <v>10</v>
      </c>
      <c r="E511">
        <v>0</v>
      </c>
      <c r="F511">
        <v>4</v>
      </c>
      <c r="G511">
        <v>1</v>
      </c>
      <c r="H511">
        <v>2</v>
      </c>
      <c r="I511">
        <v>6575</v>
      </c>
      <c r="J511">
        <v>607975</v>
      </c>
      <c r="K511">
        <v>722917</v>
      </c>
      <c r="L511">
        <v>117546</v>
      </c>
      <c r="M511">
        <v>891</v>
      </c>
      <c r="N511">
        <v>6437</v>
      </c>
      <c r="O511">
        <v>7328</v>
      </c>
    </row>
    <row r="512" spans="1:15" hidden="1" x14ac:dyDescent="0.25">
      <c r="A512" s="1">
        <v>41193</v>
      </c>
      <c r="B512">
        <v>4</v>
      </c>
      <c r="C512">
        <v>1</v>
      </c>
      <c r="D512">
        <v>10</v>
      </c>
      <c r="E512">
        <v>0</v>
      </c>
      <c r="F512">
        <v>4</v>
      </c>
      <c r="G512">
        <v>1</v>
      </c>
      <c r="H512">
        <v>1</v>
      </c>
      <c r="I512">
        <v>435</v>
      </c>
      <c r="J512">
        <v>431167</v>
      </c>
      <c r="K512">
        <v>463333</v>
      </c>
      <c r="L512">
        <v>181596</v>
      </c>
      <c r="M512">
        <v>834</v>
      </c>
      <c r="N512">
        <v>6736</v>
      </c>
      <c r="O512">
        <v>7570</v>
      </c>
    </row>
    <row r="513" spans="1:15" hidden="1" x14ac:dyDescent="0.25">
      <c r="A513" s="1">
        <v>41200</v>
      </c>
      <c r="B513">
        <v>4</v>
      </c>
      <c r="C513">
        <v>1</v>
      </c>
      <c r="D513">
        <v>10</v>
      </c>
      <c r="E513">
        <v>0</v>
      </c>
      <c r="F513">
        <v>4</v>
      </c>
      <c r="G513">
        <v>1</v>
      </c>
      <c r="H513">
        <v>2</v>
      </c>
      <c r="I513">
        <v>5225</v>
      </c>
      <c r="J513">
        <v>512625</v>
      </c>
      <c r="K513">
        <v>728333</v>
      </c>
      <c r="L513">
        <v>236937</v>
      </c>
      <c r="M513">
        <v>1008</v>
      </c>
      <c r="N513">
        <v>6501</v>
      </c>
      <c r="O513">
        <v>7509</v>
      </c>
    </row>
    <row r="514" spans="1:15" hidden="1" x14ac:dyDescent="0.25">
      <c r="A514" s="1">
        <v>41207</v>
      </c>
      <c r="B514">
        <v>4</v>
      </c>
      <c r="C514">
        <v>1</v>
      </c>
      <c r="D514">
        <v>10</v>
      </c>
      <c r="E514">
        <v>0</v>
      </c>
      <c r="F514">
        <v>4</v>
      </c>
      <c r="G514">
        <v>1</v>
      </c>
      <c r="H514">
        <v>2</v>
      </c>
      <c r="I514">
        <v>55</v>
      </c>
      <c r="J514">
        <v>529688</v>
      </c>
      <c r="K514">
        <v>800417</v>
      </c>
      <c r="L514">
        <v>124375</v>
      </c>
      <c r="M514">
        <v>875</v>
      </c>
      <c r="N514">
        <v>6484</v>
      </c>
      <c r="O514">
        <v>7359</v>
      </c>
    </row>
    <row r="515" spans="1:15" hidden="1" x14ac:dyDescent="0.25">
      <c r="A515" s="1">
        <v>41214</v>
      </c>
      <c r="B515">
        <v>4</v>
      </c>
      <c r="C515">
        <v>1</v>
      </c>
      <c r="D515">
        <v>11</v>
      </c>
      <c r="E515">
        <v>0</v>
      </c>
      <c r="F515">
        <v>4</v>
      </c>
      <c r="G515">
        <v>1</v>
      </c>
      <c r="H515">
        <v>2</v>
      </c>
      <c r="I515">
        <v>365833</v>
      </c>
      <c r="J515">
        <v>369942</v>
      </c>
      <c r="K515">
        <v>581667</v>
      </c>
      <c r="L515">
        <v>157346</v>
      </c>
      <c r="M515">
        <v>466</v>
      </c>
      <c r="N515">
        <v>5520</v>
      </c>
      <c r="O515">
        <v>5986</v>
      </c>
    </row>
    <row r="516" spans="1:15" hidden="1" x14ac:dyDescent="0.25">
      <c r="A516" s="1">
        <v>41221</v>
      </c>
      <c r="B516">
        <v>4</v>
      </c>
      <c r="C516">
        <v>1</v>
      </c>
      <c r="D516">
        <v>11</v>
      </c>
      <c r="E516">
        <v>0</v>
      </c>
      <c r="F516">
        <v>4</v>
      </c>
      <c r="G516">
        <v>1</v>
      </c>
      <c r="H516">
        <v>1</v>
      </c>
      <c r="I516">
        <v>352174</v>
      </c>
      <c r="J516">
        <v>341891</v>
      </c>
      <c r="K516">
        <v>333478</v>
      </c>
      <c r="L516">
        <v>347835</v>
      </c>
      <c r="M516">
        <v>340</v>
      </c>
      <c r="N516">
        <v>4975</v>
      </c>
      <c r="O516">
        <v>5315</v>
      </c>
    </row>
    <row r="517" spans="1:15" hidden="1" x14ac:dyDescent="0.25">
      <c r="A517" s="1">
        <v>41228</v>
      </c>
      <c r="B517">
        <v>4</v>
      </c>
      <c r="C517">
        <v>1</v>
      </c>
      <c r="D517">
        <v>11</v>
      </c>
      <c r="E517">
        <v>0</v>
      </c>
      <c r="F517">
        <v>4</v>
      </c>
      <c r="G517">
        <v>1</v>
      </c>
      <c r="H517">
        <v>2</v>
      </c>
      <c r="I517">
        <v>321667</v>
      </c>
      <c r="J517">
        <v>324492</v>
      </c>
      <c r="K517">
        <v>620417</v>
      </c>
      <c r="L517">
        <v>152987</v>
      </c>
      <c r="M517">
        <v>320</v>
      </c>
      <c r="N517">
        <v>5125</v>
      </c>
      <c r="O517">
        <v>5445</v>
      </c>
    </row>
    <row r="518" spans="1:15" hidden="1" x14ac:dyDescent="0.25">
      <c r="A518" s="1">
        <v>41235</v>
      </c>
      <c r="B518">
        <v>4</v>
      </c>
      <c r="C518">
        <v>1</v>
      </c>
      <c r="D518">
        <v>11</v>
      </c>
      <c r="E518">
        <v>1</v>
      </c>
      <c r="F518">
        <v>4</v>
      </c>
      <c r="G518">
        <v>0</v>
      </c>
      <c r="H518">
        <v>1</v>
      </c>
      <c r="I518">
        <v>34</v>
      </c>
      <c r="J518">
        <v>350371</v>
      </c>
      <c r="K518">
        <v>580417</v>
      </c>
      <c r="L518">
        <v>528708</v>
      </c>
      <c r="M518">
        <v>955</v>
      </c>
      <c r="N518">
        <v>1470</v>
      </c>
      <c r="O518">
        <v>2425</v>
      </c>
    </row>
    <row r="519" spans="1:15" hidden="1" x14ac:dyDescent="0.25">
      <c r="A519" s="1">
        <v>41242</v>
      </c>
      <c r="B519">
        <v>4</v>
      </c>
      <c r="C519">
        <v>1</v>
      </c>
      <c r="D519">
        <v>11</v>
      </c>
      <c r="E519">
        <v>0</v>
      </c>
      <c r="F519">
        <v>4</v>
      </c>
      <c r="G519">
        <v>1</v>
      </c>
      <c r="H519">
        <v>1</v>
      </c>
      <c r="I519">
        <v>28087</v>
      </c>
      <c r="J519">
        <v>298422</v>
      </c>
      <c r="K519">
        <v>555652</v>
      </c>
      <c r="L519">
        <v>115522</v>
      </c>
      <c r="M519">
        <v>243</v>
      </c>
      <c r="N519">
        <v>5080</v>
      </c>
      <c r="O519">
        <v>5323</v>
      </c>
    </row>
    <row r="520" spans="1:15" hidden="1" x14ac:dyDescent="0.25">
      <c r="A520" s="1">
        <v>41249</v>
      </c>
      <c r="B520">
        <v>4</v>
      </c>
      <c r="C520">
        <v>1</v>
      </c>
      <c r="D520">
        <v>12</v>
      </c>
      <c r="E520">
        <v>0</v>
      </c>
      <c r="F520">
        <v>4</v>
      </c>
      <c r="G520">
        <v>1</v>
      </c>
      <c r="H520">
        <v>1</v>
      </c>
      <c r="I520">
        <v>255833</v>
      </c>
      <c r="J520">
        <v>258204</v>
      </c>
      <c r="K520">
        <v>50875</v>
      </c>
      <c r="L520">
        <v>174754</v>
      </c>
      <c r="M520">
        <v>340</v>
      </c>
      <c r="N520">
        <v>5035</v>
      </c>
      <c r="O520">
        <v>5375</v>
      </c>
    </row>
    <row r="521" spans="1:15" hidden="1" x14ac:dyDescent="0.25">
      <c r="A521" s="1">
        <v>41256</v>
      </c>
      <c r="B521">
        <v>4</v>
      </c>
      <c r="C521">
        <v>1</v>
      </c>
      <c r="D521">
        <v>12</v>
      </c>
      <c r="E521">
        <v>0</v>
      </c>
      <c r="F521">
        <v>4</v>
      </c>
      <c r="G521">
        <v>1</v>
      </c>
      <c r="H521">
        <v>1</v>
      </c>
      <c r="I521">
        <v>295833</v>
      </c>
      <c r="J521">
        <v>294188</v>
      </c>
      <c r="K521">
        <v>485833</v>
      </c>
      <c r="L521">
        <v>174129</v>
      </c>
      <c r="M521">
        <v>425</v>
      </c>
      <c r="N521">
        <v>5107</v>
      </c>
      <c r="O521">
        <v>5532</v>
      </c>
    </row>
    <row r="522" spans="1:15" hidden="1" x14ac:dyDescent="0.25">
      <c r="A522" s="1">
        <v>41263</v>
      </c>
      <c r="B522">
        <v>4</v>
      </c>
      <c r="C522">
        <v>1</v>
      </c>
      <c r="D522">
        <v>12</v>
      </c>
      <c r="E522">
        <v>0</v>
      </c>
      <c r="F522">
        <v>4</v>
      </c>
      <c r="G522">
        <v>1</v>
      </c>
      <c r="H522">
        <v>2</v>
      </c>
      <c r="I522">
        <v>33</v>
      </c>
      <c r="J522">
        <v>335217</v>
      </c>
      <c r="K522">
        <v>667917</v>
      </c>
      <c r="L522">
        <v>132463</v>
      </c>
      <c r="M522">
        <v>314</v>
      </c>
      <c r="N522">
        <v>3814</v>
      </c>
      <c r="O522">
        <v>4128</v>
      </c>
    </row>
    <row r="523" spans="1:15" hidden="1" x14ac:dyDescent="0.25">
      <c r="A523" s="1">
        <v>41270</v>
      </c>
      <c r="B523">
        <v>1</v>
      </c>
      <c r="C523">
        <v>1</v>
      </c>
      <c r="D523">
        <v>12</v>
      </c>
      <c r="E523">
        <v>0</v>
      </c>
      <c r="F523">
        <v>4</v>
      </c>
      <c r="G523">
        <v>1</v>
      </c>
      <c r="H523">
        <v>2</v>
      </c>
      <c r="I523">
        <v>254167</v>
      </c>
      <c r="J523">
        <v>226642</v>
      </c>
      <c r="K523">
        <v>652917</v>
      </c>
      <c r="L523">
        <v>350133</v>
      </c>
      <c r="M523">
        <v>247</v>
      </c>
      <c r="N523">
        <v>1867</v>
      </c>
      <c r="O523">
        <v>2114</v>
      </c>
    </row>
    <row r="524" spans="1:15" hidden="1" x14ac:dyDescent="0.25">
      <c r="A524" s="1">
        <v>40550</v>
      </c>
      <c r="B524">
        <v>1</v>
      </c>
      <c r="C524">
        <v>0</v>
      </c>
      <c r="D524">
        <v>1</v>
      </c>
      <c r="E524">
        <v>0</v>
      </c>
      <c r="F524">
        <v>5</v>
      </c>
      <c r="G524">
        <v>1</v>
      </c>
      <c r="H524">
        <v>2</v>
      </c>
      <c r="I524">
        <v>196522</v>
      </c>
      <c r="J524">
        <v>208839</v>
      </c>
      <c r="K524">
        <v>498696</v>
      </c>
      <c r="L524">
        <v>168726</v>
      </c>
      <c r="M524">
        <v>148</v>
      </c>
      <c r="N524">
        <v>1362</v>
      </c>
      <c r="O524">
        <v>1510</v>
      </c>
    </row>
    <row r="525" spans="1:15" hidden="1" x14ac:dyDescent="0.25">
      <c r="A525" s="1">
        <v>40557</v>
      </c>
      <c r="B525">
        <v>1</v>
      </c>
      <c r="C525">
        <v>0</v>
      </c>
      <c r="D525">
        <v>1</v>
      </c>
      <c r="E525">
        <v>0</v>
      </c>
      <c r="F525">
        <v>5</v>
      </c>
      <c r="G525">
        <v>1</v>
      </c>
      <c r="H525">
        <v>1</v>
      </c>
      <c r="I525">
        <v>16087</v>
      </c>
      <c r="J525">
        <v>188413</v>
      </c>
      <c r="K525">
        <v>537826</v>
      </c>
      <c r="L525">
        <v>126548</v>
      </c>
      <c r="M525">
        <v>54</v>
      </c>
      <c r="N525">
        <v>1367</v>
      </c>
      <c r="O525">
        <v>1421</v>
      </c>
    </row>
    <row r="526" spans="1:15" hidden="1" x14ac:dyDescent="0.25">
      <c r="A526" s="1">
        <v>40564</v>
      </c>
      <c r="B526">
        <v>1</v>
      </c>
      <c r="C526">
        <v>0</v>
      </c>
      <c r="D526">
        <v>1</v>
      </c>
      <c r="E526">
        <v>0</v>
      </c>
      <c r="F526">
        <v>5</v>
      </c>
      <c r="G526">
        <v>1</v>
      </c>
      <c r="H526">
        <v>1</v>
      </c>
      <c r="I526">
        <v>1775</v>
      </c>
      <c r="J526">
        <v>157833</v>
      </c>
      <c r="K526">
        <v>457083</v>
      </c>
      <c r="L526">
        <v>353242</v>
      </c>
      <c r="M526">
        <v>75</v>
      </c>
      <c r="N526">
        <v>1468</v>
      </c>
      <c r="O526">
        <v>1543</v>
      </c>
    </row>
    <row r="527" spans="1:15" hidden="1" x14ac:dyDescent="0.25">
      <c r="A527" s="1">
        <v>40571</v>
      </c>
      <c r="B527">
        <v>1</v>
      </c>
      <c r="C527">
        <v>0</v>
      </c>
      <c r="D527">
        <v>1</v>
      </c>
      <c r="E527">
        <v>0</v>
      </c>
      <c r="F527">
        <v>5</v>
      </c>
      <c r="G527">
        <v>1</v>
      </c>
      <c r="H527">
        <v>2</v>
      </c>
      <c r="I527">
        <v>203478</v>
      </c>
      <c r="J527">
        <v>223317</v>
      </c>
      <c r="K527">
        <v>793043</v>
      </c>
      <c r="L527">
        <v>1233</v>
      </c>
      <c r="M527">
        <v>38</v>
      </c>
      <c r="N527">
        <v>1129</v>
      </c>
      <c r="O527">
        <v>1167</v>
      </c>
    </row>
    <row r="528" spans="1:15" hidden="1" x14ac:dyDescent="0.25">
      <c r="A528" s="1">
        <v>40578</v>
      </c>
      <c r="B528">
        <v>1</v>
      </c>
      <c r="C528">
        <v>0</v>
      </c>
      <c r="D528">
        <v>2</v>
      </c>
      <c r="E528">
        <v>0</v>
      </c>
      <c r="F528">
        <v>5</v>
      </c>
      <c r="G528">
        <v>1</v>
      </c>
      <c r="H528">
        <v>2</v>
      </c>
      <c r="I528">
        <v>211304</v>
      </c>
      <c r="J528">
        <v>228587</v>
      </c>
      <c r="K528">
        <v>585217</v>
      </c>
      <c r="L528">
        <v>127839</v>
      </c>
      <c r="M528">
        <v>88</v>
      </c>
      <c r="N528">
        <v>1620</v>
      </c>
      <c r="O528">
        <v>1708</v>
      </c>
    </row>
    <row r="529" spans="1:15" hidden="1" x14ac:dyDescent="0.25">
      <c r="A529" s="1">
        <v>40585</v>
      </c>
      <c r="B529">
        <v>1</v>
      </c>
      <c r="C529">
        <v>0</v>
      </c>
      <c r="D529">
        <v>2</v>
      </c>
      <c r="E529">
        <v>0</v>
      </c>
      <c r="F529">
        <v>5</v>
      </c>
      <c r="G529">
        <v>1</v>
      </c>
      <c r="H529">
        <v>1</v>
      </c>
      <c r="I529">
        <v>189091</v>
      </c>
      <c r="J529">
        <v>213509</v>
      </c>
      <c r="K529">
        <v>506364</v>
      </c>
      <c r="L529">
        <v>10855</v>
      </c>
      <c r="M529">
        <v>149</v>
      </c>
      <c r="N529">
        <v>1597</v>
      </c>
      <c r="O529">
        <v>1746</v>
      </c>
    </row>
    <row r="530" spans="1:15" hidden="1" x14ac:dyDescent="0.25">
      <c r="A530" s="1">
        <v>40592</v>
      </c>
      <c r="B530">
        <v>1</v>
      </c>
      <c r="C530">
        <v>0</v>
      </c>
      <c r="D530">
        <v>2</v>
      </c>
      <c r="E530">
        <v>0</v>
      </c>
      <c r="F530">
        <v>5</v>
      </c>
      <c r="G530">
        <v>1</v>
      </c>
      <c r="H530">
        <v>1</v>
      </c>
      <c r="I530">
        <v>521667</v>
      </c>
      <c r="J530">
        <v>511983</v>
      </c>
      <c r="K530">
        <v>516667</v>
      </c>
      <c r="L530">
        <v>264925</v>
      </c>
      <c r="M530">
        <v>579</v>
      </c>
      <c r="N530">
        <v>2348</v>
      </c>
      <c r="O530">
        <v>2927</v>
      </c>
    </row>
    <row r="531" spans="1:15" hidden="1" x14ac:dyDescent="0.25">
      <c r="A531" s="1">
        <v>40599</v>
      </c>
      <c r="B531">
        <v>1</v>
      </c>
      <c r="C531">
        <v>0</v>
      </c>
      <c r="D531">
        <v>2</v>
      </c>
      <c r="E531">
        <v>0</v>
      </c>
      <c r="F531">
        <v>5</v>
      </c>
      <c r="G531">
        <v>1</v>
      </c>
      <c r="H531">
        <v>2</v>
      </c>
      <c r="I531">
        <v>364348</v>
      </c>
      <c r="J531">
        <v>350461</v>
      </c>
      <c r="K531">
        <v>712174</v>
      </c>
      <c r="L531">
        <v>346539</v>
      </c>
      <c r="M531">
        <v>120</v>
      </c>
      <c r="N531">
        <v>1341</v>
      </c>
      <c r="O531">
        <v>1461</v>
      </c>
    </row>
    <row r="532" spans="1:15" hidden="1" x14ac:dyDescent="0.25">
      <c r="A532" s="1">
        <v>40606</v>
      </c>
      <c r="B532">
        <v>1</v>
      </c>
      <c r="C532">
        <v>0</v>
      </c>
      <c r="D532">
        <v>3</v>
      </c>
      <c r="E532">
        <v>0</v>
      </c>
      <c r="F532">
        <v>5</v>
      </c>
      <c r="G532">
        <v>1</v>
      </c>
      <c r="H532">
        <v>2</v>
      </c>
      <c r="I532">
        <v>261667</v>
      </c>
      <c r="J532">
        <v>255679</v>
      </c>
      <c r="K532">
        <v>610417</v>
      </c>
      <c r="L532">
        <v>203346</v>
      </c>
      <c r="M532">
        <v>214</v>
      </c>
      <c r="N532">
        <v>1730</v>
      </c>
      <c r="O532">
        <v>1944</v>
      </c>
    </row>
    <row r="533" spans="1:15" hidden="1" x14ac:dyDescent="0.25">
      <c r="A533" s="1">
        <v>40613</v>
      </c>
      <c r="B533">
        <v>1</v>
      </c>
      <c r="C533">
        <v>0</v>
      </c>
      <c r="D533">
        <v>3</v>
      </c>
      <c r="E533">
        <v>0</v>
      </c>
      <c r="F533">
        <v>5</v>
      </c>
      <c r="G533">
        <v>1</v>
      </c>
      <c r="H533">
        <v>2</v>
      </c>
      <c r="I533">
        <v>316522</v>
      </c>
      <c r="J533">
        <v>305</v>
      </c>
      <c r="K533">
        <v>649565</v>
      </c>
      <c r="L533">
        <v>23297</v>
      </c>
      <c r="M533">
        <v>247</v>
      </c>
      <c r="N533">
        <v>1730</v>
      </c>
      <c r="O533">
        <v>1977</v>
      </c>
    </row>
    <row r="534" spans="1:15" hidden="1" x14ac:dyDescent="0.25">
      <c r="A534" s="1">
        <v>40620</v>
      </c>
      <c r="B534">
        <v>1</v>
      </c>
      <c r="C534">
        <v>0</v>
      </c>
      <c r="D534">
        <v>3</v>
      </c>
      <c r="E534">
        <v>0</v>
      </c>
      <c r="F534">
        <v>5</v>
      </c>
      <c r="G534">
        <v>1</v>
      </c>
      <c r="H534">
        <v>1</v>
      </c>
      <c r="I534">
        <v>54</v>
      </c>
      <c r="J534">
        <v>527009</v>
      </c>
      <c r="K534">
        <v>525217</v>
      </c>
      <c r="L534">
        <v>231017</v>
      </c>
      <c r="M534">
        <v>884</v>
      </c>
      <c r="N534">
        <v>2355</v>
      </c>
      <c r="O534">
        <v>3239</v>
      </c>
    </row>
    <row r="535" spans="1:15" hidden="1" x14ac:dyDescent="0.25">
      <c r="A535" s="1">
        <v>40627</v>
      </c>
      <c r="B535">
        <v>2</v>
      </c>
      <c r="C535">
        <v>0</v>
      </c>
      <c r="D535">
        <v>3</v>
      </c>
      <c r="E535">
        <v>0</v>
      </c>
      <c r="F535">
        <v>5</v>
      </c>
      <c r="G535">
        <v>1</v>
      </c>
      <c r="H535">
        <v>1</v>
      </c>
      <c r="I535">
        <v>264167</v>
      </c>
      <c r="J535">
        <v>256312</v>
      </c>
      <c r="K535">
        <v>495</v>
      </c>
      <c r="L535">
        <v>230725</v>
      </c>
      <c r="M535">
        <v>300</v>
      </c>
      <c r="N535">
        <v>1910</v>
      </c>
      <c r="O535">
        <v>2210</v>
      </c>
    </row>
    <row r="536" spans="1:15" hidden="1" x14ac:dyDescent="0.25">
      <c r="A536" s="1">
        <v>40634</v>
      </c>
      <c r="B536">
        <v>2</v>
      </c>
      <c r="C536">
        <v>0</v>
      </c>
      <c r="D536">
        <v>4</v>
      </c>
      <c r="E536">
        <v>0</v>
      </c>
      <c r="F536">
        <v>5</v>
      </c>
      <c r="G536">
        <v>1</v>
      </c>
      <c r="H536">
        <v>2</v>
      </c>
      <c r="I536">
        <v>3</v>
      </c>
      <c r="J536">
        <v>283454</v>
      </c>
      <c r="K536">
        <v>68625</v>
      </c>
      <c r="L536">
        <v>258708</v>
      </c>
      <c r="M536">
        <v>307</v>
      </c>
      <c r="N536">
        <v>1920</v>
      </c>
      <c r="O536">
        <v>2227</v>
      </c>
    </row>
    <row r="537" spans="1:15" hidden="1" x14ac:dyDescent="0.25">
      <c r="A537" s="1">
        <v>40641</v>
      </c>
      <c r="B537">
        <v>2</v>
      </c>
      <c r="C537">
        <v>0</v>
      </c>
      <c r="D537">
        <v>4</v>
      </c>
      <c r="E537">
        <v>0</v>
      </c>
      <c r="F537">
        <v>5</v>
      </c>
      <c r="G537">
        <v>1</v>
      </c>
      <c r="H537">
        <v>2</v>
      </c>
      <c r="I537">
        <v>335833</v>
      </c>
      <c r="J537">
        <v>324479</v>
      </c>
      <c r="K537">
        <v>83625</v>
      </c>
      <c r="L537">
        <v>226992</v>
      </c>
      <c r="M537">
        <v>172</v>
      </c>
      <c r="N537">
        <v>1299</v>
      </c>
      <c r="O537">
        <v>1471</v>
      </c>
    </row>
    <row r="538" spans="1:15" hidden="1" x14ac:dyDescent="0.25">
      <c r="A538" s="1">
        <v>40648</v>
      </c>
      <c r="B538">
        <v>2</v>
      </c>
      <c r="C538">
        <v>0</v>
      </c>
      <c r="D538">
        <v>4</v>
      </c>
      <c r="E538">
        <v>1</v>
      </c>
      <c r="F538">
        <v>5</v>
      </c>
      <c r="G538">
        <v>0</v>
      </c>
      <c r="H538">
        <v>1</v>
      </c>
      <c r="I538">
        <v>446667</v>
      </c>
      <c r="J538">
        <v>441913</v>
      </c>
      <c r="K538">
        <v>67125</v>
      </c>
      <c r="L538">
        <v>226375</v>
      </c>
      <c r="M538">
        <v>642</v>
      </c>
      <c r="N538">
        <v>2484</v>
      </c>
      <c r="O538">
        <v>3126</v>
      </c>
    </row>
    <row r="539" spans="1:15" hidden="1" x14ac:dyDescent="0.25">
      <c r="A539" s="1">
        <v>40655</v>
      </c>
      <c r="B539">
        <v>2</v>
      </c>
      <c r="C539">
        <v>0</v>
      </c>
      <c r="D539">
        <v>4</v>
      </c>
      <c r="E539">
        <v>0</v>
      </c>
      <c r="F539">
        <v>5</v>
      </c>
      <c r="G539">
        <v>1</v>
      </c>
      <c r="H539">
        <v>2</v>
      </c>
      <c r="I539">
        <v>336667</v>
      </c>
      <c r="J539">
        <v>321954</v>
      </c>
      <c r="K539">
        <v>729583</v>
      </c>
      <c r="L539">
        <v>219521</v>
      </c>
      <c r="M539">
        <v>177</v>
      </c>
      <c r="N539">
        <v>1506</v>
      </c>
      <c r="O539">
        <v>1683</v>
      </c>
    </row>
    <row r="540" spans="1:15" hidden="1" x14ac:dyDescent="0.25">
      <c r="A540" s="1">
        <v>40662</v>
      </c>
      <c r="B540">
        <v>2</v>
      </c>
      <c r="C540">
        <v>0</v>
      </c>
      <c r="D540">
        <v>4</v>
      </c>
      <c r="E540">
        <v>0</v>
      </c>
      <c r="F540">
        <v>5</v>
      </c>
      <c r="G540">
        <v>1</v>
      </c>
      <c r="H540">
        <v>1</v>
      </c>
      <c r="I540">
        <v>51</v>
      </c>
      <c r="J540">
        <v>497463</v>
      </c>
      <c r="K540">
        <v>457083</v>
      </c>
      <c r="L540">
        <v>240063</v>
      </c>
      <c r="M540">
        <v>878</v>
      </c>
      <c r="N540">
        <v>3717</v>
      </c>
      <c r="O540">
        <v>4595</v>
      </c>
    </row>
    <row r="541" spans="1:15" hidden="1" x14ac:dyDescent="0.25">
      <c r="A541" s="1">
        <v>40669</v>
      </c>
      <c r="B541">
        <v>2</v>
      </c>
      <c r="C541">
        <v>0</v>
      </c>
      <c r="D541">
        <v>5</v>
      </c>
      <c r="E541">
        <v>0</v>
      </c>
      <c r="F541">
        <v>5</v>
      </c>
      <c r="G541">
        <v>1</v>
      </c>
      <c r="H541">
        <v>1</v>
      </c>
      <c r="I541">
        <v>479167</v>
      </c>
      <c r="J541">
        <v>474117</v>
      </c>
      <c r="K541">
        <v>59</v>
      </c>
      <c r="L541">
        <v>228246</v>
      </c>
      <c r="M541">
        <v>894</v>
      </c>
      <c r="N541">
        <v>3714</v>
      </c>
      <c r="O541">
        <v>4608</v>
      </c>
    </row>
    <row r="542" spans="1:15" hidden="1" x14ac:dyDescent="0.25">
      <c r="A542" s="1">
        <v>40676</v>
      </c>
      <c r="B542">
        <v>2</v>
      </c>
      <c r="C542">
        <v>0</v>
      </c>
      <c r="D542">
        <v>5</v>
      </c>
      <c r="E542">
        <v>0</v>
      </c>
      <c r="F542">
        <v>5</v>
      </c>
      <c r="G542">
        <v>1</v>
      </c>
      <c r="H542">
        <v>2</v>
      </c>
      <c r="I542">
        <v>5125</v>
      </c>
      <c r="J542">
        <v>4943</v>
      </c>
      <c r="K542">
        <v>863333</v>
      </c>
      <c r="L542">
        <v>179725</v>
      </c>
      <c r="M542">
        <v>692</v>
      </c>
      <c r="N542">
        <v>3413</v>
      </c>
      <c r="O542">
        <v>4105</v>
      </c>
    </row>
    <row r="543" spans="1:15" hidden="1" x14ac:dyDescent="0.25">
      <c r="A543" s="1">
        <v>40683</v>
      </c>
      <c r="B543">
        <v>2</v>
      </c>
      <c r="C543">
        <v>0</v>
      </c>
      <c r="D543">
        <v>5</v>
      </c>
      <c r="E543">
        <v>0</v>
      </c>
      <c r="F543">
        <v>5</v>
      </c>
      <c r="G543">
        <v>1</v>
      </c>
      <c r="H543">
        <v>1</v>
      </c>
      <c r="I543">
        <v>536667</v>
      </c>
      <c r="J543">
        <v>529042</v>
      </c>
      <c r="K543">
        <v>719583</v>
      </c>
      <c r="L543">
        <v>125013</v>
      </c>
      <c r="M543">
        <v>909</v>
      </c>
      <c r="N543">
        <v>4008</v>
      </c>
      <c r="O543">
        <v>4917</v>
      </c>
    </row>
    <row r="544" spans="1:15" hidden="1" x14ac:dyDescent="0.25">
      <c r="A544" s="1">
        <v>40690</v>
      </c>
      <c r="B544">
        <v>2</v>
      </c>
      <c r="C544">
        <v>0</v>
      </c>
      <c r="D544">
        <v>5</v>
      </c>
      <c r="E544">
        <v>0</v>
      </c>
      <c r="F544">
        <v>5</v>
      </c>
      <c r="G544">
        <v>1</v>
      </c>
      <c r="H544">
        <v>1</v>
      </c>
      <c r="I544">
        <v>681667</v>
      </c>
      <c r="J544">
        <v>637008</v>
      </c>
      <c r="K544">
        <v>65375</v>
      </c>
      <c r="L544">
        <v>240679</v>
      </c>
      <c r="M544">
        <v>871</v>
      </c>
      <c r="N544">
        <v>3808</v>
      </c>
      <c r="O544">
        <v>4679</v>
      </c>
    </row>
    <row r="545" spans="1:15" hidden="1" x14ac:dyDescent="0.25">
      <c r="A545" s="1">
        <v>40697</v>
      </c>
      <c r="B545">
        <v>2</v>
      </c>
      <c r="C545">
        <v>0</v>
      </c>
      <c r="D545">
        <v>6</v>
      </c>
      <c r="E545">
        <v>0</v>
      </c>
      <c r="F545">
        <v>5</v>
      </c>
      <c r="G545">
        <v>1</v>
      </c>
      <c r="H545">
        <v>1</v>
      </c>
      <c r="I545">
        <v>62</v>
      </c>
      <c r="J545">
        <v>587133</v>
      </c>
      <c r="K545">
        <v>354167</v>
      </c>
      <c r="L545">
        <v>253121</v>
      </c>
      <c r="M545">
        <v>898</v>
      </c>
      <c r="N545">
        <v>4414</v>
      </c>
      <c r="O545">
        <v>5312</v>
      </c>
    </row>
    <row r="546" spans="1:15" hidden="1" x14ac:dyDescent="0.25">
      <c r="A546" s="1">
        <v>40704</v>
      </c>
      <c r="B546">
        <v>2</v>
      </c>
      <c r="C546">
        <v>0</v>
      </c>
      <c r="D546">
        <v>6</v>
      </c>
      <c r="E546">
        <v>0</v>
      </c>
      <c r="F546">
        <v>5</v>
      </c>
      <c r="G546">
        <v>1</v>
      </c>
      <c r="H546">
        <v>1</v>
      </c>
      <c r="I546">
        <v>755</v>
      </c>
      <c r="J546">
        <v>703292</v>
      </c>
      <c r="K546">
        <v>605</v>
      </c>
      <c r="L546">
        <v>140554</v>
      </c>
      <c r="M546">
        <v>815</v>
      </c>
      <c r="N546">
        <v>3771</v>
      </c>
      <c r="O546">
        <v>4586</v>
      </c>
    </row>
    <row r="547" spans="1:15" hidden="1" x14ac:dyDescent="0.25">
      <c r="A547" s="1">
        <v>40711</v>
      </c>
      <c r="B547">
        <v>2</v>
      </c>
      <c r="C547">
        <v>0</v>
      </c>
      <c r="D547">
        <v>6</v>
      </c>
      <c r="E547">
        <v>0</v>
      </c>
      <c r="F547">
        <v>5</v>
      </c>
      <c r="G547">
        <v>1</v>
      </c>
      <c r="H547">
        <v>1</v>
      </c>
      <c r="I547">
        <v>649167</v>
      </c>
      <c r="J547">
        <v>600383</v>
      </c>
      <c r="K547">
        <v>735833</v>
      </c>
      <c r="L547">
        <v>143029</v>
      </c>
      <c r="M547">
        <v>863</v>
      </c>
      <c r="N547">
        <v>3981</v>
      </c>
      <c r="O547">
        <v>4844</v>
      </c>
    </row>
    <row r="548" spans="1:15" hidden="1" x14ac:dyDescent="0.25">
      <c r="A548" s="1">
        <v>40718</v>
      </c>
      <c r="B548">
        <v>3</v>
      </c>
      <c r="C548">
        <v>0</v>
      </c>
      <c r="D548">
        <v>6</v>
      </c>
      <c r="E548">
        <v>0</v>
      </c>
      <c r="F548">
        <v>5</v>
      </c>
      <c r="G548">
        <v>1</v>
      </c>
      <c r="H548">
        <v>1</v>
      </c>
      <c r="I548">
        <v>724167</v>
      </c>
      <c r="J548">
        <v>656583</v>
      </c>
      <c r="K548">
        <v>573333</v>
      </c>
      <c r="L548">
        <v>222025</v>
      </c>
      <c r="M548">
        <v>969</v>
      </c>
      <c r="N548">
        <v>4022</v>
      </c>
      <c r="O548">
        <v>4991</v>
      </c>
    </row>
    <row r="549" spans="1:15" hidden="1" x14ac:dyDescent="0.25">
      <c r="A549" s="1">
        <v>40725</v>
      </c>
      <c r="B549">
        <v>3</v>
      </c>
      <c r="C549">
        <v>0</v>
      </c>
      <c r="D549">
        <v>7</v>
      </c>
      <c r="E549">
        <v>0</v>
      </c>
      <c r="F549">
        <v>5</v>
      </c>
      <c r="G549">
        <v>1</v>
      </c>
      <c r="H549">
        <v>1</v>
      </c>
      <c r="I549">
        <v>7225</v>
      </c>
      <c r="J549">
        <v>652162</v>
      </c>
      <c r="K549">
        <v>39625</v>
      </c>
      <c r="L549">
        <v>102608</v>
      </c>
      <c r="M549">
        <v>1246</v>
      </c>
      <c r="N549">
        <v>4116</v>
      </c>
      <c r="O549">
        <v>5362</v>
      </c>
    </row>
    <row r="550" spans="1:15" hidden="1" x14ac:dyDescent="0.25">
      <c r="A550" s="1">
        <v>40732</v>
      </c>
      <c r="B550">
        <v>3</v>
      </c>
      <c r="C550">
        <v>0</v>
      </c>
      <c r="D550">
        <v>7</v>
      </c>
      <c r="E550">
        <v>0</v>
      </c>
      <c r="F550">
        <v>5</v>
      </c>
      <c r="G550">
        <v>1</v>
      </c>
      <c r="H550">
        <v>2</v>
      </c>
      <c r="I550">
        <v>709167</v>
      </c>
      <c r="J550">
        <v>670483</v>
      </c>
      <c r="K550">
        <v>757917</v>
      </c>
      <c r="L550">
        <v>225129</v>
      </c>
      <c r="M550">
        <v>692</v>
      </c>
      <c r="N550">
        <v>3348</v>
      </c>
      <c r="O550">
        <v>4040</v>
      </c>
    </row>
    <row r="551" spans="1:15" hidden="1" x14ac:dyDescent="0.25">
      <c r="A551" s="1">
        <v>40739</v>
      </c>
      <c r="B551">
        <v>3</v>
      </c>
      <c r="C551">
        <v>0</v>
      </c>
      <c r="D551">
        <v>7</v>
      </c>
      <c r="E551">
        <v>0</v>
      </c>
      <c r="F551">
        <v>5</v>
      </c>
      <c r="G551">
        <v>1</v>
      </c>
      <c r="H551">
        <v>1</v>
      </c>
      <c r="I551">
        <v>663333</v>
      </c>
      <c r="J551">
        <v>624371</v>
      </c>
      <c r="K551">
        <v>59125</v>
      </c>
      <c r="L551">
        <v>182833</v>
      </c>
      <c r="M551">
        <v>1318</v>
      </c>
      <c r="N551">
        <v>4220</v>
      </c>
      <c r="O551">
        <v>5538</v>
      </c>
    </row>
    <row r="552" spans="1:15" hidden="1" x14ac:dyDescent="0.25">
      <c r="A552" s="1">
        <v>40746</v>
      </c>
      <c r="B552">
        <v>3</v>
      </c>
      <c r="C552">
        <v>0</v>
      </c>
      <c r="D552">
        <v>7</v>
      </c>
      <c r="E552">
        <v>0</v>
      </c>
      <c r="F552">
        <v>5</v>
      </c>
      <c r="G552">
        <v>1</v>
      </c>
      <c r="H552">
        <v>1</v>
      </c>
      <c r="I552">
        <v>848333</v>
      </c>
      <c r="J552">
        <v>840896</v>
      </c>
      <c r="K552">
        <v>580417</v>
      </c>
      <c r="L552">
        <v>1331</v>
      </c>
      <c r="M552">
        <v>562</v>
      </c>
      <c r="N552">
        <v>2825</v>
      </c>
      <c r="O552">
        <v>3387</v>
      </c>
    </row>
    <row r="553" spans="1:15" hidden="1" x14ac:dyDescent="0.25">
      <c r="A553" s="1">
        <v>40753</v>
      </c>
      <c r="B553">
        <v>3</v>
      </c>
      <c r="C553">
        <v>0</v>
      </c>
      <c r="D553">
        <v>7</v>
      </c>
      <c r="E553">
        <v>0</v>
      </c>
      <c r="F553">
        <v>5</v>
      </c>
      <c r="G553">
        <v>1</v>
      </c>
      <c r="H553">
        <v>1</v>
      </c>
      <c r="I553">
        <v>838333</v>
      </c>
      <c r="J553">
        <v>785967</v>
      </c>
      <c r="K553">
        <v>5425</v>
      </c>
      <c r="L553">
        <v>174138</v>
      </c>
      <c r="M553">
        <v>670</v>
      </c>
      <c r="N553">
        <v>3176</v>
      </c>
      <c r="O553">
        <v>3846</v>
      </c>
    </row>
    <row r="554" spans="1:15" hidden="1" x14ac:dyDescent="0.25">
      <c r="A554" s="1">
        <v>40760</v>
      </c>
      <c r="B554">
        <v>3</v>
      </c>
      <c r="C554">
        <v>0</v>
      </c>
      <c r="D554">
        <v>8</v>
      </c>
      <c r="E554">
        <v>0</v>
      </c>
      <c r="F554">
        <v>5</v>
      </c>
      <c r="G554">
        <v>1</v>
      </c>
      <c r="H554">
        <v>1</v>
      </c>
      <c r="I554">
        <v>710833</v>
      </c>
      <c r="J554">
        <v>656567</v>
      </c>
      <c r="K554">
        <v>630833</v>
      </c>
      <c r="L554">
        <v>184696</v>
      </c>
      <c r="M554">
        <v>1023</v>
      </c>
      <c r="N554">
        <v>3843</v>
      </c>
      <c r="O554">
        <v>4866</v>
      </c>
    </row>
    <row r="555" spans="1:15" hidden="1" x14ac:dyDescent="0.25">
      <c r="A555" s="1">
        <v>40767</v>
      </c>
      <c r="B555">
        <v>3</v>
      </c>
      <c r="C555">
        <v>0</v>
      </c>
      <c r="D555">
        <v>8</v>
      </c>
      <c r="E555">
        <v>0</v>
      </c>
      <c r="F555">
        <v>5</v>
      </c>
      <c r="G555">
        <v>1</v>
      </c>
      <c r="H555">
        <v>1</v>
      </c>
      <c r="I555">
        <v>708333</v>
      </c>
      <c r="J555">
        <v>654042</v>
      </c>
      <c r="K555">
        <v>415</v>
      </c>
      <c r="L555">
        <v>125621</v>
      </c>
      <c r="M555">
        <v>1051</v>
      </c>
      <c r="N555">
        <v>3854</v>
      </c>
      <c r="O555">
        <v>4905</v>
      </c>
    </row>
    <row r="556" spans="1:15" hidden="1" x14ac:dyDescent="0.25">
      <c r="A556" s="1">
        <v>40774</v>
      </c>
      <c r="B556">
        <v>3</v>
      </c>
      <c r="C556">
        <v>0</v>
      </c>
      <c r="D556">
        <v>8</v>
      </c>
      <c r="E556">
        <v>0</v>
      </c>
      <c r="F556">
        <v>5</v>
      </c>
      <c r="G556">
        <v>1</v>
      </c>
      <c r="H556">
        <v>2</v>
      </c>
      <c r="I556">
        <v>685</v>
      </c>
      <c r="J556">
        <v>633221</v>
      </c>
      <c r="K556">
        <v>722917</v>
      </c>
      <c r="L556">
        <v>139308</v>
      </c>
      <c r="M556">
        <v>797</v>
      </c>
      <c r="N556">
        <v>3356</v>
      </c>
      <c r="O556">
        <v>4153</v>
      </c>
    </row>
    <row r="557" spans="1:15" hidden="1" x14ac:dyDescent="0.25">
      <c r="A557" s="1">
        <v>40781</v>
      </c>
      <c r="B557">
        <v>3</v>
      </c>
      <c r="C557">
        <v>0</v>
      </c>
      <c r="D557">
        <v>8</v>
      </c>
      <c r="E557">
        <v>0</v>
      </c>
      <c r="F557">
        <v>5</v>
      </c>
      <c r="G557">
        <v>1</v>
      </c>
      <c r="H557">
        <v>1</v>
      </c>
      <c r="I557">
        <v>7</v>
      </c>
      <c r="J557">
        <v>659733</v>
      </c>
      <c r="K557">
        <v>76125</v>
      </c>
      <c r="L557">
        <v>839625</v>
      </c>
      <c r="M557">
        <v>768</v>
      </c>
      <c r="N557">
        <v>3893</v>
      </c>
      <c r="O557">
        <v>4661</v>
      </c>
    </row>
    <row r="558" spans="1:15" hidden="1" x14ac:dyDescent="0.25">
      <c r="A558" s="1">
        <v>40788</v>
      </c>
      <c r="B558">
        <v>3</v>
      </c>
      <c r="C558">
        <v>0</v>
      </c>
      <c r="D558">
        <v>9</v>
      </c>
      <c r="E558">
        <v>0</v>
      </c>
      <c r="F558">
        <v>5</v>
      </c>
      <c r="G558">
        <v>1</v>
      </c>
      <c r="H558">
        <v>2</v>
      </c>
      <c r="I558">
        <v>643333</v>
      </c>
      <c r="J558">
        <v>604808</v>
      </c>
      <c r="K558">
        <v>727083</v>
      </c>
      <c r="L558">
        <v>139929</v>
      </c>
      <c r="M558">
        <v>875</v>
      </c>
      <c r="N558">
        <v>3852</v>
      </c>
      <c r="O558">
        <v>4727</v>
      </c>
    </row>
    <row r="559" spans="1:15" hidden="1" x14ac:dyDescent="0.25">
      <c r="A559" s="1">
        <v>40795</v>
      </c>
      <c r="B559">
        <v>3</v>
      </c>
      <c r="C559">
        <v>0</v>
      </c>
      <c r="D559">
        <v>9</v>
      </c>
      <c r="E559">
        <v>0</v>
      </c>
      <c r="F559">
        <v>5</v>
      </c>
      <c r="G559">
        <v>1</v>
      </c>
      <c r="H559">
        <v>2</v>
      </c>
      <c r="I559">
        <v>65</v>
      </c>
      <c r="J559">
        <v>578946</v>
      </c>
      <c r="K559">
        <v>897917</v>
      </c>
      <c r="L559">
        <v>124379</v>
      </c>
      <c r="M559">
        <v>417</v>
      </c>
      <c r="N559">
        <v>3127</v>
      </c>
      <c r="O559">
        <v>3544</v>
      </c>
    </row>
    <row r="560" spans="1:15" hidden="1" x14ac:dyDescent="0.25">
      <c r="A560" s="1">
        <v>40802</v>
      </c>
      <c r="B560">
        <v>3</v>
      </c>
      <c r="C560">
        <v>0</v>
      </c>
      <c r="D560">
        <v>9</v>
      </c>
      <c r="E560">
        <v>0</v>
      </c>
      <c r="F560">
        <v>5</v>
      </c>
      <c r="G560">
        <v>1</v>
      </c>
      <c r="H560">
        <v>2</v>
      </c>
      <c r="I560">
        <v>469167</v>
      </c>
      <c r="J560">
        <v>461475</v>
      </c>
      <c r="K560">
        <v>590417</v>
      </c>
      <c r="L560">
        <v>164183</v>
      </c>
      <c r="M560">
        <v>742</v>
      </c>
      <c r="N560">
        <v>4018</v>
      </c>
      <c r="O560">
        <v>4760</v>
      </c>
    </row>
    <row r="561" spans="1:15" hidden="1" x14ac:dyDescent="0.25">
      <c r="A561" s="1">
        <v>40809</v>
      </c>
      <c r="B561">
        <v>4</v>
      </c>
      <c r="C561">
        <v>0</v>
      </c>
      <c r="D561">
        <v>9</v>
      </c>
      <c r="E561">
        <v>0</v>
      </c>
      <c r="F561">
        <v>5</v>
      </c>
      <c r="G561">
        <v>1</v>
      </c>
      <c r="H561">
        <v>2</v>
      </c>
      <c r="I561">
        <v>609167</v>
      </c>
      <c r="J561">
        <v>522125</v>
      </c>
      <c r="K561">
        <v>9725</v>
      </c>
      <c r="L561">
        <v>783667</v>
      </c>
      <c r="M561">
        <v>258</v>
      </c>
      <c r="N561">
        <v>2137</v>
      </c>
      <c r="O561">
        <v>2395</v>
      </c>
    </row>
    <row r="562" spans="1:15" hidden="1" x14ac:dyDescent="0.25">
      <c r="A562" s="1">
        <v>40816</v>
      </c>
      <c r="B562">
        <v>4</v>
      </c>
      <c r="C562">
        <v>0</v>
      </c>
      <c r="D562">
        <v>9</v>
      </c>
      <c r="E562">
        <v>0</v>
      </c>
      <c r="F562">
        <v>5</v>
      </c>
      <c r="G562">
        <v>1</v>
      </c>
      <c r="H562">
        <v>1</v>
      </c>
      <c r="I562">
        <v>564167</v>
      </c>
      <c r="J562">
        <v>544829</v>
      </c>
      <c r="K562">
        <v>6475</v>
      </c>
      <c r="L562">
        <v>206475</v>
      </c>
      <c r="M562">
        <v>830</v>
      </c>
      <c r="N562">
        <v>4372</v>
      </c>
      <c r="O562">
        <v>5202</v>
      </c>
    </row>
    <row r="563" spans="1:15" hidden="1" x14ac:dyDescent="0.25">
      <c r="A563" s="1">
        <v>40823</v>
      </c>
      <c r="B563">
        <v>4</v>
      </c>
      <c r="C563">
        <v>0</v>
      </c>
      <c r="D563">
        <v>10</v>
      </c>
      <c r="E563">
        <v>0</v>
      </c>
      <c r="F563">
        <v>5</v>
      </c>
      <c r="G563">
        <v>1</v>
      </c>
      <c r="H563">
        <v>1</v>
      </c>
      <c r="I563">
        <v>510833</v>
      </c>
      <c r="J563">
        <v>504404</v>
      </c>
      <c r="K563">
        <v>684167</v>
      </c>
      <c r="L563">
        <v>223917</v>
      </c>
      <c r="M563">
        <v>949</v>
      </c>
      <c r="N563">
        <v>4036</v>
      </c>
      <c r="O563">
        <v>4985</v>
      </c>
    </row>
    <row r="564" spans="1:15" hidden="1" x14ac:dyDescent="0.25">
      <c r="A564" s="1">
        <v>40830</v>
      </c>
      <c r="B564">
        <v>4</v>
      </c>
      <c r="C564">
        <v>0</v>
      </c>
      <c r="D564">
        <v>10</v>
      </c>
      <c r="E564">
        <v>0</v>
      </c>
      <c r="F564">
        <v>5</v>
      </c>
      <c r="G564">
        <v>1</v>
      </c>
      <c r="H564">
        <v>2</v>
      </c>
      <c r="I564">
        <v>550833</v>
      </c>
      <c r="J564">
        <v>529675</v>
      </c>
      <c r="K564">
        <v>71625</v>
      </c>
      <c r="L564">
        <v>223883</v>
      </c>
      <c r="M564">
        <v>529</v>
      </c>
      <c r="N564">
        <v>3115</v>
      </c>
      <c r="O564">
        <v>3644</v>
      </c>
    </row>
    <row r="565" spans="1:15" hidden="1" x14ac:dyDescent="0.25">
      <c r="A565" s="1">
        <v>40837</v>
      </c>
      <c r="B565">
        <v>4</v>
      </c>
      <c r="C565">
        <v>0</v>
      </c>
      <c r="D565">
        <v>10</v>
      </c>
      <c r="E565">
        <v>0</v>
      </c>
      <c r="F565">
        <v>5</v>
      </c>
      <c r="G565">
        <v>1</v>
      </c>
      <c r="H565">
        <v>1</v>
      </c>
      <c r="I565">
        <v>4275</v>
      </c>
      <c r="J565">
        <v>423596</v>
      </c>
      <c r="K565">
        <v>574167</v>
      </c>
      <c r="L565">
        <v>221396</v>
      </c>
      <c r="M565">
        <v>676</v>
      </c>
      <c r="N565">
        <v>3628</v>
      </c>
      <c r="O565">
        <v>4304</v>
      </c>
    </row>
    <row r="566" spans="1:15" hidden="1" x14ac:dyDescent="0.25">
      <c r="A566" s="1">
        <v>40844</v>
      </c>
      <c r="B566">
        <v>4</v>
      </c>
      <c r="C566">
        <v>0</v>
      </c>
      <c r="D566">
        <v>10</v>
      </c>
      <c r="E566">
        <v>0</v>
      </c>
      <c r="F566">
        <v>5</v>
      </c>
      <c r="G566">
        <v>1</v>
      </c>
      <c r="H566">
        <v>2</v>
      </c>
      <c r="I566">
        <v>330833</v>
      </c>
      <c r="J566">
        <v>318812</v>
      </c>
      <c r="K566">
        <v>585833</v>
      </c>
      <c r="L566">
        <v>229479</v>
      </c>
      <c r="M566">
        <v>456</v>
      </c>
      <c r="N566">
        <v>3291</v>
      </c>
      <c r="O566">
        <v>3747</v>
      </c>
    </row>
    <row r="567" spans="1:15" hidden="1" x14ac:dyDescent="0.25">
      <c r="A567" s="1">
        <v>40851</v>
      </c>
      <c r="B567">
        <v>4</v>
      </c>
      <c r="C567">
        <v>0</v>
      </c>
      <c r="D567">
        <v>11</v>
      </c>
      <c r="E567">
        <v>0</v>
      </c>
      <c r="F567">
        <v>5</v>
      </c>
      <c r="G567">
        <v>1</v>
      </c>
      <c r="H567">
        <v>2</v>
      </c>
      <c r="I567">
        <v>403333</v>
      </c>
      <c r="J567">
        <v>403392</v>
      </c>
      <c r="K567">
        <v>6225</v>
      </c>
      <c r="L567">
        <v>271779</v>
      </c>
      <c r="M567">
        <v>470</v>
      </c>
      <c r="N567">
        <v>3576</v>
      </c>
      <c r="O567">
        <v>4046</v>
      </c>
    </row>
    <row r="568" spans="1:15" hidden="1" x14ac:dyDescent="0.25">
      <c r="A568" s="1">
        <v>40858</v>
      </c>
      <c r="B568">
        <v>4</v>
      </c>
      <c r="C568">
        <v>0</v>
      </c>
      <c r="D568">
        <v>11</v>
      </c>
      <c r="E568">
        <v>1</v>
      </c>
      <c r="F568">
        <v>5</v>
      </c>
      <c r="G568">
        <v>0</v>
      </c>
      <c r="H568">
        <v>1</v>
      </c>
      <c r="I568">
        <v>324167</v>
      </c>
      <c r="J568">
        <v>306817</v>
      </c>
      <c r="K568">
        <v>44625</v>
      </c>
      <c r="L568">
        <v>314675</v>
      </c>
      <c r="M568">
        <v>440</v>
      </c>
      <c r="N568">
        <v>2928</v>
      </c>
      <c r="O568">
        <v>3368</v>
      </c>
    </row>
    <row r="569" spans="1:15" hidden="1" x14ac:dyDescent="0.25">
      <c r="A569" s="1">
        <v>40865</v>
      </c>
      <c r="B569">
        <v>4</v>
      </c>
      <c r="C569">
        <v>0</v>
      </c>
      <c r="D569">
        <v>11</v>
      </c>
      <c r="E569">
        <v>0</v>
      </c>
      <c r="F569">
        <v>5</v>
      </c>
      <c r="G569">
        <v>1</v>
      </c>
      <c r="H569">
        <v>1</v>
      </c>
      <c r="I569">
        <v>274167</v>
      </c>
      <c r="J569">
        <v>272721</v>
      </c>
      <c r="K569">
        <v>41</v>
      </c>
      <c r="L569">
        <v>168533</v>
      </c>
      <c r="M569">
        <v>245</v>
      </c>
      <c r="N569">
        <v>3147</v>
      </c>
      <c r="O569">
        <v>3392</v>
      </c>
    </row>
    <row r="570" spans="1:15" hidden="1" x14ac:dyDescent="0.25">
      <c r="A570" s="1">
        <v>40872</v>
      </c>
      <c r="B570">
        <v>4</v>
      </c>
      <c r="C570">
        <v>0</v>
      </c>
      <c r="D570">
        <v>11</v>
      </c>
      <c r="E570">
        <v>0</v>
      </c>
      <c r="F570">
        <v>5</v>
      </c>
      <c r="G570">
        <v>1</v>
      </c>
      <c r="H570">
        <v>1</v>
      </c>
      <c r="I570">
        <v>375</v>
      </c>
      <c r="J570">
        <v>380671</v>
      </c>
      <c r="K570">
        <v>64375</v>
      </c>
      <c r="L570">
        <v>988958</v>
      </c>
      <c r="M570">
        <v>1095</v>
      </c>
      <c r="N570">
        <v>1697</v>
      </c>
      <c r="O570">
        <v>2792</v>
      </c>
    </row>
    <row r="571" spans="1:15" hidden="1" x14ac:dyDescent="0.25">
      <c r="A571" s="1">
        <v>40879</v>
      </c>
      <c r="B571">
        <v>4</v>
      </c>
      <c r="C571">
        <v>0</v>
      </c>
      <c r="D571">
        <v>12</v>
      </c>
      <c r="E571">
        <v>0</v>
      </c>
      <c r="F571">
        <v>5</v>
      </c>
      <c r="G571">
        <v>1</v>
      </c>
      <c r="H571">
        <v>1</v>
      </c>
      <c r="I571">
        <v>314167</v>
      </c>
      <c r="J571">
        <v>331433</v>
      </c>
      <c r="K571">
        <v>625833</v>
      </c>
      <c r="L571">
        <v>100754</v>
      </c>
      <c r="M571">
        <v>268</v>
      </c>
      <c r="N571">
        <v>3672</v>
      </c>
      <c r="O571">
        <v>3940</v>
      </c>
    </row>
    <row r="572" spans="1:15" hidden="1" x14ac:dyDescent="0.25">
      <c r="A572" s="1">
        <v>40886</v>
      </c>
      <c r="B572">
        <v>4</v>
      </c>
      <c r="C572">
        <v>0</v>
      </c>
      <c r="D572">
        <v>12</v>
      </c>
      <c r="E572">
        <v>0</v>
      </c>
      <c r="F572">
        <v>5</v>
      </c>
      <c r="G572">
        <v>1</v>
      </c>
      <c r="H572">
        <v>1</v>
      </c>
      <c r="I572">
        <v>290833</v>
      </c>
      <c r="J572">
        <v>317542</v>
      </c>
      <c r="K572">
        <v>695833</v>
      </c>
      <c r="L572">
        <v>827167</v>
      </c>
      <c r="M572">
        <v>261</v>
      </c>
      <c r="N572">
        <v>3359</v>
      </c>
      <c r="O572">
        <v>3620</v>
      </c>
    </row>
    <row r="573" spans="1:15" hidden="1" x14ac:dyDescent="0.25">
      <c r="A573" s="1">
        <v>40893</v>
      </c>
      <c r="B573">
        <v>4</v>
      </c>
      <c r="C573">
        <v>0</v>
      </c>
      <c r="D573">
        <v>12</v>
      </c>
      <c r="E573">
        <v>0</v>
      </c>
      <c r="F573">
        <v>5</v>
      </c>
      <c r="G573">
        <v>1</v>
      </c>
      <c r="H573">
        <v>2</v>
      </c>
      <c r="I573">
        <v>375</v>
      </c>
      <c r="J573">
        <v>359825</v>
      </c>
      <c r="K573">
        <v>500417</v>
      </c>
      <c r="L573">
        <v>260575</v>
      </c>
      <c r="M573">
        <v>178</v>
      </c>
      <c r="N573">
        <v>3399</v>
      </c>
      <c r="O573">
        <v>3577</v>
      </c>
    </row>
    <row r="574" spans="1:15" hidden="1" x14ac:dyDescent="0.25">
      <c r="A574" s="1">
        <v>40900</v>
      </c>
      <c r="B574">
        <v>1</v>
      </c>
      <c r="C574">
        <v>0</v>
      </c>
      <c r="D574">
        <v>12</v>
      </c>
      <c r="E574">
        <v>0</v>
      </c>
      <c r="F574">
        <v>5</v>
      </c>
      <c r="G574">
        <v>1</v>
      </c>
      <c r="H574">
        <v>1</v>
      </c>
      <c r="I574">
        <v>373333</v>
      </c>
      <c r="J574">
        <v>377513</v>
      </c>
      <c r="K574">
        <v>68625</v>
      </c>
      <c r="L574">
        <v>274246</v>
      </c>
      <c r="M574">
        <v>163</v>
      </c>
      <c r="N574">
        <v>2046</v>
      </c>
      <c r="O574">
        <v>2209</v>
      </c>
    </row>
    <row r="575" spans="1:15" hidden="1" x14ac:dyDescent="0.25">
      <c r="A575" s="1">
        <v>40907</v>
      </c>
      <c r="B575">
        <v>1</v>
      </c>
      <c r="C575">
        <v>0</v>
      </c>
      <c r="D575">
        <v>12</v>
      </c>
      <c r="E575">
        <v>0</v>
      </c>
      <c r="F575">
        <v>5</v>
      </c>
      <c r="G575">
        <v>1</v>
      </c>
      <c r="H575">
        <v>1</v>
      </c>
      <c r="I575">
        <v>311667</v>
      </c>
      <c r="J575">
        <v>318812</v>
      </c>
      <c r="K575">
        <v>636667</v>
      </c>
      <c r="L575">
        <v>134337</v>
      </c>
      <c r="M575">
        <v>491</v>
      </c>
      <c r="N575">
        <v>2508</v>
      </c>
      <c r="O575">
        <v>2999</v>
      </c>
    </row>
    <row r="576" spans="1:15" hidden="1" x14ac:dyDescent="0.25">
      <c r="A576" s="1">
        <v>40914</v>
      </c>
      <c r="B576">
        <v>1</v>
      </c>
      <c r="C576">
        <v>1</v>
      </c>
      <c r="D576">
        <v>1</v>
      </c>
      <c r="E576">
        <v>0</v>
      </c>
      <c r="F576">
        <v>5</v>
      </c>
      <c r="G576">
        <v>1</v>
      </c>
      <c r="H576">
        <v>1</v>
      </c>
      <c r="I576">
        <v>334167</v>
      </c>
      <c r="J576">
        <v>340267</v>
      </c>
      <c r="K576">
        <v>542083</v>
      </c>
      <c r="L576">
        <v>167908</v>
      </c>
      <c r="M576">
        <v>307</v>
      </c>
      <c r="N576">
        <v>3791</v>
      </c>
      <c r="O576">
        <v>4098</v>
      </c>
    </row>
    <row r="577" spans="1:15" hidden="1" x14ac:dyDescent="0.25">
      <c r="A577" s="1">
        <v>40921</v>
      </c>
      <c r="B577">
        <v>1</v>
      </c>
      <c r="C577">
        <v>1</v>
      </c>
      <c r="D577">
        <v>1</v>
      </c>
      <c r="E577">
        <v>0</v>
      </c>
      <c r="F577">
        <v>5</v>
      </c>
      <c r="G577">
        <v>1</v>
      </c>
      <c r="H577">
        <v>1</v>
      </c>
      <c r="I577">
        <v>274167</v>
      </c>
      <c r="J577">
        <v>249362</v>
      </c>
      <c r="K577">
        <v>5075</v>
      </c>
      <c r="L577">
        <v>378108</v>
      </c>
      <c r="M577">
        <v>174</v>
      </c>
      <c r="N577">
        <v>3040</v>
      </c>
      <c r="O577">
        <v>3214</v>
      </c>
    </row>
    <row r="578" spans="1:15" hidden="1" x14ac:dyDescent="0.25">
      <c r="A578" s="1">
        <v>40928</v>
      </c>
      <c r="B578">
        <v>1</v>
      </c>
      <c r="C578">
        <v>1</v>
      </c>
      <c r="D578">
        <v>1</v>
      </c>
      <c r="E578">
        <v>0</v>
      </c>
      <c r="F578">
        <v>5</v>
      </c>
      <c r="G578">
        <v>1</v>
      </c>
      <c r="H578">
        <v>2</v>
      </c>
      <c r="I578">
        <v>2175</v>
      </c>
      <c r="J578">
        <v>220958</v>
      </c>
      <c r="K578">
        <v>45</v>
      </c>
      <c r="L578">
        <v>20275</v>
      </c>
      <c r="M578">
        <v>115</v>
      </c>
      <c r="N578">
        <v>3048</v>
      </c>
      <c r="O578">
        <v>3163</v>
      </c>
    </row>
    <row r="579" spans="1:15" hidden="1" x14ac:dyDescent="0.25">
      <c r="A579" s="1">
        <v>40935</v>
      </c>
      <c r="B579">
        <v>1</v>
      </c>
      <c r="C579">
        <v>1</v>
      </c>
      <c r="D579">
        <v>1</v>
      </c>
      <c r="E579">
        <v>0</v>
      </c>
      <c r="F579">
        <v>5</v>
      </c>
      <c r="G579">
        <v>1</v>
      </c>
      <c r="H579">
        <v>2</v>
      </c>
      <c r="I579">
        <v>425</v>
      </c>
      <c r="J579">
        <v>415383</v>
      </c>
      <c r="K579">
        <v>74125</v>
      </c>
      <c r="L579">
        <v>342667</v>
      </c>
      <c r="M579">
        <v>269</v>
      </c>
      <c r="N579">
        <v>3187</v>
      </c>
      <c r="O579">
        <v>3456</v>
      </c>
    </row>
    <row r="580" spans="1:15" hidden="1" x14ac:dyDescent="0.25">
      <c r="A580" s="1">
        <v>40942</v>
      </c>
      <c r="B580">
        <v>1</v>
      </c>
      <c r="C580">
        <v>1</v>
      </c>
      <c r="D580">
        <v>2</v>
      </c>
      <c r="E580">
        <v>0</v>
      </c>
      <c r="F580">
        <v>5</v>
      </c>
      <c r="G580">
        <v>1</v>
      </c>
      <c r="H580">
        <v>1</v>
      </c>
      <c r="I580">
        <v>313333</v>
      </c>
      <c r="J580">
        <v>309346</v>
      </c>
      <c r="K580">
        <v>526667</v>
      </c>
      <c r="L580">
        <v>178496</v>
      </c>
      <c r="M580">
        <v>310</v>
      </c>
      <c r="N580">
        <v>3841</v>
      </c>
      <c r="O580">
        <v>4151</v>
      </c>
    </row>
    <row r="581" spans="1:15" hidden="1" x14ac:dyDescent="0.25">
      <c r="A581" s="1">
        <v>40949</v>
      </c>
      <c r="B581">
        <v>1</v>
      </c>
      <c r="C581">
        <v>1</v>
      </c>
      <c r="D581">
        <v>2</v>
      </c>
      <c r="E581">
        <v>0</v>
      </c>
      <c r="F581">
        <v>5</v>
      </c>
      <c r="G581">
        <v>1</v>
      </c>
      <c r="H581">
        <v>2</v>
      </c>
      <c r="I581">
        <v>280833</v>
      </c>
      <c r="J581">
        <v>293558</v>
      </c>
      <c r="K581">
        <v>54</v>
      </c>
      <c r="L581">
        <v>116929</v>
      </c>
      <c r="M581">
        <v>227</v>
      </c>
      <c r="N581">
        <v>3604</v>
      </c>
      <c r="O581">
        <v>3831</v>
      </c>
    </row>
    <row r="582" spans="1:15" hidden="1" x14ac:dyDescent="0.25">
      <c r="A582" s="1">
        <v>40956</v>
      </c>
      <c r="B582">
        <v>1</v>
      </c>
      <c r="C582">
        <v>1</v>
      </c>
      <c r="D582">
        <v>2</v>
      </c>
      <c r="E582">
        <v>0</v>
      </c>
      <c r="F582">
        <v>5</v>
      </c>
      <c r="G582">
        <v>1</v>
      </c>
      <c r="H582">
        <v>1</v>
      </c>
      <c r="I582">
        <v>343333</v>
      </c>
      <c r="J582">
        <v>351629</v>
      </c>
      <c r="K582">
        <v>634583</v>
      </c>
      <c r="L582">
        <v>205846</v>
      </c>
      <c r="M582">
        <v>349</v>
      </c>
      <c r="N582">
        <v>3805</v>
      </c>
      <c r="O582">
        <v>4154</v>
      </c>
    </row>
    <row r="583" spans="1:15" hidden="1" x14ac:dyDescent="0.25">
      <c r="A583" s="1">
        <v>40963</v>
      </c>
      <c r="B583">
        <v>1</v>
      </c>
      <c r="C583">
        <v>1</v>
      </c>
      <c r="D583">
        <v>2</v>
      </c>
      <c r="E583">
        <v>0</v>
      </c>
      <c r="F583">
        <v>5</v>
      </c>
      <c r="G583">
        <v>1</v>
      </c>
      <c r="H583">
        <v>2</v>
      </c>
      <c r="I583">
        <v>4075</v>
      </c>
      <c r="J583">
        <v>410971</v>
      </c>
      <c r="K583">
        <v>7375</v>
      </c>
      <c r="L583">
        <v>237567</v>
      </c>
      <c r="M583">
        <v>246</v>
      </c>
      <c r="N583">
        <v>3241</v>
      </c>
      <c r="O583">
        <v>3487</v>
      </c>
    </row>
    <row r="584" spans="1:15" hidden="1" x14ac:dyDescent="0.25">
      <c r="A584" s="1">
        <v>40970</v>
      </c>
      <c r="B584">
        <v>1</v>
      </c>
      <c r="C584">
        <v>1</v>
      </c>
      <c r="D584">
        <v>3</v>
      </c>
      <c r="E584">
        <v>0</v>
      </c>
      <c r="F584">
        <v>5</v>
      </c>
      <c r="G584">
        <v>1</v>
      </c>
      <c r="H584">
        <v>2</v>
      </c>
      <c r="I584">
        <v>353333</v>
      </c>
      <c r="J584">
        <v>359842</v>
      </c>
      <c r="K584">
        <v>657083</v>
      </c>
      <c r="L584">
        <v>144904</v>
      </c>
      <c r="M584">
        <v>246</v>
      </c>
      <c r="N584">
        <v>2948</v>
      </c>
      <c r="O584">
        <v>3194</v>
      </c>
    </row>
    <row r="585" spans="1:15" hidden="1" x14ac:dyDescent="0.25">
      <c r="A585" s="1">
        <v>40977</v>
      </c>
      <c r="B585">
        <v>1</v>
      </c>
      <c r="C585">
        <v>1</v>
      </c>
      <c r="D585">
        <v>3</v>
      </c>
      <c r="E585">
        <v>0</v>
      </c>
      <c r="F585">
        <v>5</v>
      </c>
      <c r="G585">
        <v>1</v>
      </c>
      <c r="H585">
        <v>2</v>
      </c>
      <c r="I585">
        <v>410833</v>
      </c>
      <c r="J585">
        <v>397083</v>
      </c>
      <c r="K585">
        <v>407083</v>
      </c>
      <c r="L585">
        <v>4148</v>
      </c>
      <c r="M585">
        <v>447</v>
      </c>
      <c r="N585">
        <v>4122</v>
      </c>
      <c r="O585">
        <v>4569</v>
      </c>
    </row>
    <row r="586" spans="1:15" hidden="1" x14ac:dyDescent="0.25">
      <c r="A586" s="1">
        <v>40984</v>
      </c>
      <c r="B586">
        <v>1</v>
      </c>
      <c r="C586">
        <v>1</v>
      </c>
      <c r="D586">
        <v>3</v>
      </c>
      <c r="E586">
        <v>0</v>
      </c>
      <c r="F586">
        <v>5</v>
      </c>
      <c r="G586">
        <v>1</v>
      </c>
      <c r="H586">
        <v>2</v>
      </c>
      <c r="I586">
        <v>435833</v>
      </c>
      <c r="J586">
        <v>436229</v>
      </c>
      <c r="K586">
        <v>842083</v>
      </c>
      <c r="L586">
        <v>113192</v>
      </c>
      <c r="M586">
        <v>548</v>
      </c>
      <c r="N586">
        <v>3830</v>
      </c>
      <c r="O586">
        <v>4378</v>
      </c>
    </row>
    <row r="587" spans="1:15" hidden="1" x14ac:dyDescent="0.25">
      <c r="A587" s="1">
        <v>40991</v>
      </c>
      <c r="B587">
        <v>2</v>
      </c>
      <c r="C587">
        <v>1</v>
      </c>
      <c r="D587">
        <v>3</v>
      </c>
      <c r="E587">
        <v>0</v>
      </c>
      <c r="F587">
        <v>5</v>
      </c>
      <c r="G587">
        <v>1</v>
      </c>
      <c r="H587">
        <v>2</v>
      </c>
      <c r="I587">
        <v>601667</v>
      </c>
      <c r="J587">
        <v>570067</v>
      </c>
      <c r="K587">
        <v>694167</v>
      </c>
      <c r="L587">
        <v>1163</v>
      </c>
      <c r="M587">
        <v>2469</v>
      </c>
      <c r="N587">
        <v>5893</v>
      </c>
      <c r="O587">
        <v>8362</v>
      </c>
    </row>
    <row r="588" spans="1:15" hidden="1" x14ac:dyDescent="0.25">
      <c r="A588" s="1">
        <v>40998</v>
      </c>
      <c r="B588">
        <v>2</v>
      </c>
      <c r="C588">
        <v>1</v>
      </c>
      <c r="D588">
        <v>3</v>
      </c>
      <c r="E588">
        <v>0</v>
      </c>
      <c r="F588">
        <v>5</v>
      </c>
      <c r="G588">
        <v>1</v>
      </c>
      <c r="H588">
        <v>2</v>
      </c>
      <c r="I588">
        <v>37</v>
      </c>
      <c r="J588">
        <v>375621</v>
      </c>
      <c r="K588">
        <v>580833</v>
      </c>
      <c r="L588">
        <v>138067</v>
      </c>
      <c r="M588">
        <v>796</v>
      </c>
      <c r="N588">
        <v>4663</v>
      </c>
      <c r="O588">
        <v>5459</v>
      </c>
    </row>
    <row r="589" spans="1:15" hidden="1" x14ac:dyDescent="0.25">
      <c r="A589" s="1">
        <v>41005</v>
      </c>
      <c r="B589">
        <v>2</v>
      </c>
      <c r="C589">
        <v>1</v>
      </c>
      <c r="D589">
        <v>4</v>
      </c>
      <c r="E589">
        <v>0</v>
      </c>
      <c r="F589">
        <v>5</v>
      </c>
      <c r="G589">
        <v>1</v>
      </c>
      <c r="H589">
        <v>1</v>
      </c>
      <c r="I589">
        <v>403333</v>
      </c>
      <c r="J589">
        <v>390767</v>
      </c>
      <c r="K589">
        <v>377083</v>
      </c>
      <c r="L589">
        <v>300388</v>
      </c>
      <c r="M589">
        <v>1807</v>
      </c>
      <c r="N589">
        <v>4653</v>
      </c>
      <c r="O589">
        <v>6460</v>
      </c>
    </row>
    <row r="590" spans="1:15" hidden="1" x14ac:dyDescent="0.25">
      <c r="A590" s="1">
        <v>41012</v>
      </c>
      <c r="B590">
        <v>2</v>
      </c>
      <c r="C590">
        <v>1</v>
      </c>
      <c r="D590">
        <v>4</v>
      </c>
      <c r="E590">
        <v>0</v>
      </c>
      <c r="F590">
        <v>5</v>
      </c>
      <c r="G590">
        <v>1</v>
      </c>
      <c r="H590">
        <v>1</v>
      </c>
      <c r="I590">
        <v>4425</v>
      </c>
      <c r="J590">
        <v>431808</v>
      </c>
      <c r="K590">
        <v>408333</v>
      </c>
      <c r="L590">
        <v>155471</v>
      </c>
      <c r="M590">
        <v>1252</v>
      </c>
      <c r="N590">
        <v>5146</v>
      </c>
      <c r="O590">
        <v>6398</v>
      </c>
    </row>
    <row r="591" spans="1:15" hidden="1" x14ac:dyDescent="0.25">
      <c r="A591" s="1">
        <v>41019</v>
      </c>
      <c r="B591">
        <v>2</v>
      </c>
      <c r="C591">
        <v>1</v>
      </c>
      <c r="D591">
        <v>4</v>
      </c>
      <c r="E591">
        <v>0</v>
      </c>
      <c r="F591">
        <v>5</v>
      </c>
      <c r="G591">
        <v>1</v>
      </c>
      <c r="H591">
        <v>1</v>
      </c>
      <c r="I591">
        <v>526667</v>
      </c>
      <c r="J591">
        <v>515775</v>
      </c>
      <c r="K591">
        <v>694583</v>
      </c>
      <c r="L591">
        <v>149871</v>
      </c>
      <c r="M591">
        <v>1340</v>
      </c>
      <c r="N591">
        <v>5950</v>
      </c>
      <c r="O591">
        <v>7290</v>
      </c>
    </row>
    <row r="592" spans="1:15" hidden="1" x14ac:dyDescent="0.25">
      <c r="A592" s="1">
        <v>41026</v>
      </c>
      <c r="B592">
        <v>2</v>
      </c>
      <c r="C592">
        <v>1</v>
      </c>
      <c r="D592">
        <v>4</v>
      </c>
      <c r="E592">
        <v>0</v>
      </c>
      <c r="F592">
        <v>5</v>
      </c>
      <c r="G592">
        <v>1</v>
      </c>
      <c r="H592">
        <v>1</v>
      </c>
      <c r="I592">
        <v>4575</v>
      </c>
      <c r="J592">
        <v>452637</v>
      </c>
      <c r="K592">
        <v>400833</v>
      </c>
      <c r="L592">
        <v>347633</v>
      </c>
      <c r="M592">
        <v>1014</v>
      </c>
      <c r="N592">
        <v>5219</v>
      </c>
      <c r="O592">
        <v>6233</v>
      </c>
    </row>
    <row r="593" spans="1:15" hidden="1" x14ac:dyDescent="0.25">
      <c r="A593" s="1">
        <v>41033</v>
      </c>
      <c r="B593">
        <v>2</v>
      </c>
      <c r="C593">
        <v>1</v>
      </c>
      <c r="D593">
        <v>5</v>
      </c>
      <c r="E593">
        <v>0</v>
      </c>
      <c r="F593">
        <v>5</v>
      </c>
      <c r="G593">
        <v>1</v>
      </c>
      <c r="H593">
        <v>1</v>
      </c>
      <c r="I593">
        <v>6275</v>
      </c>
      <c r="J593">
        <v>590917</v>
      </c>
      <c r="K593">
        <v>735417</v>
      </c>
      <c r="L593">
        <v>162938</v>
      </c>
      <c r="M593">
        <v>1069</v>
      </c>
      <c r="N593">
        <v>5227</v>
      </c>
      <c r="O593">
        <v>6296</v>
      </c>
    </row>
    <row r="594" spans="1:15" hidden="1" x14ac:dyDescent="0.25">
      <c r="A594" s="1">
        <v>41040</v>
      </c>
      <c r="B594">
        <v>2</v>
      </c>
      <c r="C594">
        <v>1</v>
      </c>
      <c r="D594">
        <v>5</v>
      </c>
      <c r="E594">
        <v>0</v>
      </c>
      <c r="F594">
        <v>5</v>
      </c>
      <c r="G594">
        <v>1</v>
      </c>
      <c r="H594">
        <v>1</v>
      </c>
      <c r="I594">
        <v>533333</v>
      </c>
      <c r="J594">
        <v>520833</v>
      </c>
      <c r="K594">
        <v>360417</v>
      </c>
      <c r="L594">
        <v>236937</v>
      </c>
      <c r="M594">
        <v>1319</v>
      </c>
      <c r="N594">
        <v>5711</v>
      </c>
      <c r="O594">
        <v>7030</v>
      </c>
    </row>
    <row r="595" spans="1:15" hidden="1" x14ac:dyDescent="0.25">
      <c r="A595" s="1">
        <v>41047</v>
      </c>
      <c r="B595">
        <v>2</v>
      </c>
      <c r="C595">
        <v>1</v>
      </c>
      <c r="D595">
        <v>5</v>
      </c>
      <c r="E595">
        <v>0</v>
      </c>
      <c r="F595">
        <v>5</v>
      </c>
      <c r="G595">
        <v>1</v>
      </c>
      <c r="H595">
        <v>1</v>
      </c>
      <c r="I595">
        <v>564167</v>
      </c>
      <c r="J595">
        <v>551121</v>
      </c>
      <c r="K595">
        <v>523333</v>
      </c>
      <c r="L595">
        <v>136817</v>
      </c>
      <c r="M595">
        <v>1521</v>
      </c>
      <c r="N595">
        <v>6118</v>
      </c>
      <c r="O595">
        <v>7639</v>
      </c>
    </row>
    <row r="596" spans="1:15" hidden="1" x14ac:dyDescent="0.25">
      <c r="A596" s="1">
        <v>41054</v>
      </c>
      <c r="B596">
        <v>2</v>
      </c>
      <c r="C596">
        <v>1</v>
      </c>
      <c r="D596">
        <v>5</v>
      </c>
      <c r="E596">
        <v>0</v>
      </c>
      <c r="F596">
        <v>5</v>
      </c>
      <c r="G596">
        <v>1</v>
      </c>
      <c r="H596">
        <v>1</v>
      </c>
      <c r="I596">
        <v>68</v>
      </c>
      <c r="J596">
        <v>627529</v>
      </c>
      <c r="K596">
        <v>747083</v>
      </c>
      <c r="L596">
        <v>14055</v>
      </c>
      <c r="M596">
        <v>1417</v>
      </c>
      <c r="N596">
        <v>5317</v>
      </c>
      <c r="O596">
        <v>6734</v>
      </c>
    </row>
    <row r="597" spans="1:15" hidden="1" x14ac:dyDescent="0.25">
      <c r="A597" s="1">
        <v>41061</v>
      </c>
      <c r="B597">
        <v>2</v>
      </c>
      <c r="C597">
        <v>1</v>
      </c>
      <c r="D597">
        <v>6</v>
      </c>
      <c r="E597">
        <v>0</v>
      </c>
      <c r="F597">
        <v>5</v>
      </c>
      <c r="G597">
        <v>1</v>
      </c>
      <c r="H597">
        <v>2</v>
      </c>
      <c r="I597">
        <v>654167</v>
      </c>
      <c r="J597">
        <v>607962</v>
      </c>
      <c r="K597">
        <v>755417</v>
      </c>
      <c r="L597">
        <v>237563</v>
      </c>
      <c r="M597">
        <v>533</v>
      </c>
      <c r="N597">
        <v>3594</v>
      </c>
      <c r="O597">
        <v>4127</v>
      </c>
    </row>
    <row r="598" spans="1:15" hidden="1" x14ac:dyDescent="0.25">
      <c r="A598" s="1">
        <v>41068</v>
      </c>
      <c r="B598">
        <v>2</v>
      </c>
      <c r="C598">
        <v>1</v>
      </c>
      <c r="D598">
        <v>6</v>
      </c>
      <c r="E598">
        <v>0</v>
      </c>
      <c r="F598">
        <v>5</v>
      </c>
      <c r="G598">
        <v>1</v>
      </c>
      <c r="H598">
        <v>1</v>
      </c>
      <c r="I598">
        <v>649167</v>
      </c>
      <c r="J598">
        <v>597862</v>
      </c>
      <c r="K598">
        <v>467917</v>
      </c>
      <c r="L598">
        <v>175383</v>
      </c>
      <c r="M598">
        <v>1488</v>
      </c>
      <c r="N598">
        <v>6248</v>
      </c>
      <c r="O598">
        <v>7736</v>
      </c>
    </row>
    <row r="599" spans="1:15" hidden="1" x14ac:dyDescent="0.25">
      <c r="A599" s="1">
        <v>41075</v>
      </c>
      <c r="B599">
        <v>2</v>
      </c>
      <c r="C599">
        <v>1</v>
      </c>
      <c r="D599">
        <v>6</v>
      </c>
      <c r="E599">
        <v>0</v>
      </c>
      <c r="F599">
        <v>5</v>
      </c>
      <c r="G599">
        <v>1</v>
      </c>
      <c r="H599">
        <v>1</v>
      </c>
      <c r="I599">
        <v>639167</v>
      </c>
      <c r="J599">
        <v>599754</v>
      </c>
      <c r="K599">
        <v>589583</v>
      </c>
      <c r="L599">
        <v>176617</v>
      </c>
      <c r="M599">
        <v>1563</v>
      </c>
      <c r="N599">
        <v>6102</v>
      </c>
      <c r="O599">
        <v>7665</v>
      </c>
    </row>
    <row r="600" spans="1:15" hidden="1" x14ac:dyDescent="0.25">
      <c r="A600" s="1">
        <v>41082</v>
      </c>
      <c r="B600">
        <v>3</v>
      </c>
      <c r="C600">
        <v>1</v>
      </c>
      <c r="D600">
        <v>6</v>
      </c>
      <c r="E600">
        <v>0</v>
      </c>
      <c r="F600">
        <v>5</v>
      </c>
      <c r="G600">
        <v>1</v>
      </c>
      <c r="H600">
        <v>1</v>
      </c>
      <c r="I600">
        <v>7775</v>
      </c>
      <c r="J600">
        <v>724121</v>
      </c>
      <c r="K600">
        <v>57375</v>
      </c>
      <c r="L600">
        <v>182842</v>
      </c>
      <c r="M600">
        <v>964</v>
      </c>
      <c r="N600">
        <v>4859</v>
      </c>
      <c r="O600">
        <v>5823</v>
      </c>
    </row>
    <row r="601" spans="1:15" hidden="1" x14ac:dyDescent="0.25">
      <c r="A601" s="1">
        <v>41089</v>
      </c>
      <c r="B601">
        <v>3</v>
      </c>
      <c r="C601">
        <v>1</v>
      </c>
      <c r="D601">
        <v>6</v>
      </c>
      <c r="E601">
        <v>0</v>
      </c>
      <c r="F601">
        <v>5</v>
      </c>
      <c r="G601">
        <v>1</v>
      </c>
      <c r="H601">
        <v>1</v>
      </c>
      <c r="I601">
        <v>834167</v>
      </c>
      <c r="J601">
        <v>786613</v>
      </c>
      <c r="K601">
        <v>48875</v>
      </c>
      <c r="L601">
        <v>165417</v>
      </c>
      <c r="M601">
        <v>829</v>
      </c>
      <c r="N601">
        <v>4634</v>
      </c>
      <c r="O601">
        <v>5463</v>
      </c>
    </row>
    <row r="602" spans="1:15" hidden="1" x14ac:dyDescent="0.25">
      <c r="A602" s="1">
        <v>41096</v>
      </c>
      <c r="B602">
        <v>3</v>
      </c>
      <c r="C602">
        <v>1</v>
      </c>
      <c r="D602">
        <v>7</v>
      </c>
      <c r="E602">
        <v>0</v>
      </c>
      <c r="F602">
        <v>5</v>
      </c>
      <c r="G602">
        <v>1</v>
      </c>
      <c r="H602">
        <v>1</v>
      </c>
      <c r="I602">
        <v>828333</v>
      </c>
      <c r="J602">
        <v>752533</v>
      </c>
      <c r="K602">
        <v>450833</v>
      </c>
      <c r="L602">
        <v>146142</v>
      </c>
      <c r="M602">
        <v>1366</v>
      </c>
      <c r="N602">
        <v>4841</v>
      </c>
      <c r="O602">
        <v>6207</v>
      </c>
    </row>
    <row r="603" spans="1:15" hidden="1" x14ac:dyDescent="0.25">
      <c r="A603" s="1">
        <v>41103</v>
      </c>
      <c r="B603">
        <v>3</v>
      </c>
      <c r="C603">
        <v>1</v>
      </c>
      <c r="D603">
        <v>7</v>
      </c>
      <c r="E603">
        <v>0</v>
      </c>
      <c r="F603">
        <v>5</v>
      </c>
      <c r="G603">
        <v>1</v>
      </c>
      <c r="H603">
        <v>2</v>
      </c>
      <c r="I603">
        <v>731667</v>
      </c>
      <c r="J603">
        <v>667933</v>
      </c>
      <c r="K603">
        <v>485833</v>
      </c>
      <c r="L603">
        <v>8085</v>
      </c>
      <c r="M603">
        <v>1511</v>
      </c>
      <c r="N603">
        <v>5988</v>
      </c>
      <c r="O603">
        <v>7499</v>
      </c>
    </row>
    <row r="604" spans="1:15" hidden="1" x14ac:dyDescent="0.25">
      <c r="A604" s="1">
        <v>41110</v>
      </c>
      <c r="B604">
        <v>3</v>
      </c>
      <c r="C604">
        <v>1</v>
      </c>
      <c r="D604">
        <v>7</v>
      </c>
      <c r="E604">
        <v>0</v>
      </c>
      <c r="F604">
        <v>5</v>
      </c>
      <c r="G604">
        <v>1</v>
      </c>
      <c r="H604">
        <v>2</v>
      </c>
      <c r="I604">
        <v>665833</v>
      </c>
      <c r="J604">
        <v>613025</v>
      </c>
      <c r="K604">
        <v>844167</v>
      </c>
      <c r="L604">
        <v>208967</v>
      </c>
      <c r="M604">
        <v>747</v>
      </c>
      <c r="N604">
        <v>5123</v>
      </c>
      <c r="O604">
        <v>5870</v>
      </c>
    </row>
    <row r="605" spans="1:15" hidden="1" x14ac:dyDescent="0.25">
      <c r="A605" s="1">
        <v>41117</v>
      </c>
      <c r="B605">
        <v>3</v>
      </c>
      <c r="C605">
        <v>1</v>
      </c>
      <c r="D605">
        <v>7</v>
      </c>
      <c r="E605">
        <v>0</v>
      </c>
      <c r="F605">
        <v>5</v>
      </c>
      <c r="G605">
        <v>1</v>
      </c>
      <c r="H605">
        <v>1</v>
      </c>
      <c r="I605">
        <v>781667</v>
      </c>
      <c r="J605">
        <v>734217</v>
      </c>
      <c r="K605">
        <v>594583</v>
      </c>
      <c r="L605">
        <v>152992</v>
      </c>
      <c r="M605">
        <v>1259</v>
      </c>
      <c r="N605">
        <v>5645</v>
      </c>
      <c r="O605">
        <v>6904</v>
      </c>
    </row>
    <row r="606" spans="1:15" hidden="1" x14ac:dyDescent="0.25">
      <c r="A606" s="1">
        <v>41124</v>
      </c>
      <c r="B606">
        <v>3</v>
      </c>
      <c r="C606">
        <v>1</v>
      </c>
      <c r="D606">
        <v>8</v>
      </c>
      <c r="E606">
        <v>0</v>
      </c>
      <c r="F606">
        <v>5</v>
      </c>
      <c r="G606">
        <v>1</v>
      </c>
      <c r="H606">
        <v>2</v>
      </c>
      <c r="I606">
        <v>765833</v>
      </c>
      <c r="J606">
        <v>722867</v>
      </c>
      <c r="K606">
        <v>6425</v>
      </c>
      <c r="L606">
        <v>215792</v>
      </c>
      <c r="M606">
        <v>1328</v>
      </c>
      <c r="N606">
        <v>5847</v>
      </c>
      <c r="O606">
        <v>7175</v>
      </c>
    </row>
    <row r="607" spans="1:15" hidden="1" x14ac:dyDescent="0.25">
      <c r="A607" s="1">
        <v>41131</v>
      </c>
      <c r="B607">
        <v>3</v>
      </c>
      <c r="C607">
        <v>1</v>
      </c>
      <c r="D607">
        <v>8</v>
      </c>
      <c r="E607">
        <v>0</v>
      </c>
      <c r="F607">
        <v>5</v>
      </c>
      <c r="G607">
        <v>1</v>
      </c>
      <c r="H607">
        <v>2</v>
      </c>
      <c r="I607">
        <v>715833</v>
      </c>
      <c r="J607">
        <v>667942</v>
      </c>
      <c r="K607">
        <v>715833</v>
      </c>
      <c r="L607">
        <v>238813</v>
      </c>
      <c r="M607">
        <v>1065</v>
      </c>
      <c r="N607">
        <v>4721</v>
      </c>
      <c r="O607">
        <v>5786</v>
      </c>
    </row>
    <row r="608" spans="1:15" hidden="1" x14ac:dyDescent="0.25">
      <c r="A608" s="1">
        <v>41138</v>
      </c>
      <c r="B608">
        <v>3</v>
      </c>
      <c r="C608">
        <v>1</v>
      </c>
      <c r="D608">
        <v>8</v>
      </c>
      <c r="E608">
        <v>0</v>
      </c>
      <c r="F608">
        <v>5</v>
      </c>
      <c r="G608">
        <v>1</v>
      </c>
      <c r="H608">
        <v>1</v>
      </c>
      <c r="I608">
        <v>723333</v>
      </c>
      <c r="J608">
        <v>2424</v>
      </c>
      <c r="K608">
        <v>570833</v>
      </c>
      <c r="L608">
        <v>231354</v>
      </c>
      <c r="M608">
        <v>1483</v>
      </c>
      <c r="N608">
        <v>5665</v>
      </c>
      <c r="O608">
        <v>7148</v>
      </c>
    </row>
    <row r="609" spans="1:15" hidden="1" x14ac:dyDescent="0.25">
      <c r="A609" s="1">
        <v>41145</v>
      </c>
      <c r="B609">
        <v>3</v>
      </c>
      <c r="C609">
        <v>1</v>
      </c>
      <c r="D609">
        <v>8</v>
      </c>
      <c r="E609">
        <v>0</v>
      </c>
      <c r="F609">
        <v>5</v>
      </c>
      <c r="G609">
        <v>1</v>
      </c>
      <c r="H609">
        <v>2</v>
      </c>
      <c r="I609">
        <v>7025</v>
      </c>
      <c r="J609">
        <v>6471</v>
      </c>
      <c r="K609">
        <v>615</v>
      </c>
      <c r="L609">
        <v>721458</v>
      </c>
      <c r="M609">
        <v>1325</v>
      </c>
      <c r="N609">
        <v>6257</v>
      </c>
      <c r="O609">
        <v>7582</v>
      </c>
    </row>
    <row r="610" spans="1:15" hidden="1" x14ac:dyDescent="0.25">
      <c r="A610" s="1">
        <v>41152</v>
      </c>
      <c r="B610">
        <v>3</v>
      </c>
      <c r="C610">
        <v>1</v>
      </c>
      <c r="D610">
        <v>8</v>
      </c>
      <c r="E610">
        <v>0</v>
      </c>
      <c r="F610">
        <v>5</v>
      </c>
      <c r="G610">
        <v>1</v>
      </c>
      <c r="H610">
        <v>1</v>
      </c>
      <c r="I610">
        <v>764167</v>
      </c>
      <c r="J610">
        <v>6894</v>
      </c>
      <c r="K610">
        <v>5875</v>
      </c>
      <c r="L610">
        <v>168533</v>
      </c>
      <c r="M610">
        <v>1433</v>
      </c>
      <c r="N610">
        <v>5917</v>
      </c>
      <c r="O610">
        <v>7350</v>
      </c>
    </row>
    <row r="611" spans="1:15" hidden="1" x14ac:dyDescent="0.25">
      <c r="A611" s="1">
        <v>41159</v>
      </c>
      <c r="B611">
        <v>3</v>
      </c>
      <c r="C611">
        <v>1</v>
      </c>
      <c r="D611">
        <v>9</v>
      </c>
      <c r="E611">
        <v>0</v>
      </c>
      <c r="F611">
        <v>5</v>
      </c>
      <c r="G611">
        <v>1</v>
      </c>
      <c r="H611">
        <v>1</v>
      </c>
      <c r="I611">
        <v>703333</v>
      </c>
      <c r="J611">
        <v>657204</v>
      </c>
      <c r="K611">
        <v>73625</v>
      </c>
      <c r="L611">
        <v>171646</v>
      </c>
      <c r="M611">
        <v>1045</v>
      </c>
      <c r="N611">
        <v>6459</v>
      </c>
      <c r="O611">
        <v>7504</v>
      </c>
    </row>
    <row r="612" spans="1:15" hidden="1" x14ac:dyDescent="0.25">
      <c r="A612" s="1">
        <v>41166</v>
      </c>
      <c r="B612">
        <v>3</v>
      </c>
      <c r="C612">
        <v>1</v>
      </c>
      <c r="D612">
        <v>9</v>
      </c>
      <c r="E612">
        <v>0</v>
      </c>
      <c r="F612">
        <v>5</v>
      </c>
      <c r="G612">
        <v>1</v>
      </c>
      <c r="H612">
        <v>1</v>
      </c>
      <c r="I612">
        <v>633333</v>
      </c>
      <c r="J612">
        <v>594083</v>
      </c>
      <c r="K612">
        <v>6725</v>
      </c>
      <c r="L612">
        <v>103863</v>
      </c>
      <c r="M612">
        <v>1379</v>
      </c>
      <c r="N612">
        <v>6630</v>
      </c>
      <c r="O612">
        <v>8009</v>
      </c>
    </row>
    <row r="613" spans="1:15" hidden="1" x14ac:dyDescent="0.25">
      <c r="A613" s="1">
        <v>41173</v>
      </c>
      <c r="B613">
        <v>3</v>
      </c>
      <c r="C613">
        <v>1</v>
      </c>
      <c r="D613">
        <v>9</v>
      </c>
      <c r="E613">
        <v>0</v>
      </c>
      <c r="F613">
        <v>5</v>
      </c>
      <c r="G613">
        <v>1</v>
      </c>
      <c r="H613">
        <v>1</v>
      </c>
      <c r="I613">
        <v>599167</v>
      </c>
      <c r="J613">
        <v>571971</v>
      </c>
      <c r="K613">
        <v>66875</v>
      </c>
      <c r="L613">
        <v>154229</v>
      </c>
      <c r="M613">
        <v>1250</v>
      </c>
      <c r="N613">
        <v>6917</v>
      </c>
      <c r="O613">
        <v>8167</v>
      </c>
    </row>
    <row r="614" spans="1:15" hidden="1" x14ac:dyDescent="0.25">
      <c r="A614" s="1">
        <v>41180</v>
      </c>
      <c r="B614">
        <v>4</v>
      </c>
      <c r="C614">
        <v>1</v>
      </c>
      <c r="D614">
        <v>9</v>
      </c>
      <c r="E614">
        <v>0</v>
      </c>
      <c r="F614">
        <v>5</v>
      </c>
      <c r="G614">
        <v>1</v>
      </c>
      <c r="H614">
        <v>2</v>
      </c>
      <c r="I614">
        <v>619167</v>
      </c>
      <c r="J614">
        <v>585863</v>
      </c>
      <c r="K614">
        <v>69</v>
      </c>
      <c r="L614">
        <v>164179</v>
      </c>
      <c r="M614">
        <v>1045</v>
      </c>
      <c r="N614">
        <v>6370</v>
      </c>
      <c r="O614">
        <v>7415</v>
      </c>
    </row>
    <row r="615" spans="1:15" hidden="1" x14ac:dyDescent="0.25">
      <c r="A615" s="1">
        <v>41187</v>
      </c>
      <c r="B615">
        <v>4</v>
      </c>
      <c r="C615">
        <v>1</v>
      </c>
      <c r="D615">
        <v>10</v>
      </c>
      <c r="E615">
        <v>0</v>
      </c>
      <c r="F615">
        <v>5</v>
      </c>
      <c r="G615">
        <v>1</v>
      </c>
      <c r="H615">
        <v>1</v>
      </c>
      <c r="I615">
        <v>615</v>
      </c>
      <c r="J615">
        <v>580187</v>
      </c>
      <c r="K615">
        <v>6275</v>
      </c>
      <c r="L615">
        <v>10635</v>
      </c>
      <c r="M615">
        <v>1516</v>
      </c>
      <c r="N615">
        <v>6640</v>
      </c>
      <c r="O615">
        <v>8156</v>
      </c>
    </row>
    <row r="616" spans="1:15" hidden="1" x14ac:dyDescent="0.25">
      <c r="A616" s="1">
        <v>41194</v>
      </c>
      <c r="B616">
        <v>4</v>
      </c>
      <c r="C616">
        <v>1</v>
      </c>
      <c r="D616">
        <v>10</v>
      </c>
      <c r="E616">
        <v>0</v>
      </c>
      <c r="F616">
        <v>5</v>
      </c>
      <c r="G616">
        <v>1</v>
      </c>
      <c r="H616">
        <v>1</v>
      </c>
      <c r="I616">
        <v>4375</v>
      </c>
      <c r="J616">
        <v>433071</v>
      </c>
      <c r="K616">
        <v>539167</v>
      </c>
      <c r="L616">
        <v>235092</v>
      </c>
      <c r="M616">
        <v>1060</v>
      </c>
      <c r="N616">
        <v>6222</v>
      </c>
      <c r="O616">
        <v>7282</v>
      </c>
    </row>
    <row r="617" spans="1:15" hidden="1" x14ac:dyDescent="0.25">
      <c r="A617" s="1">
        <v>41201</v>
      </c>
      <c r="B617">
        <v>4</v>
      </c>
      <c r="C617">
        <v>1</v>
      </c>
      <c r="D617">
        <v>10</v>
      </c>
      <c r="E617">
        <v>0</v>
      </c>
      <c r="F617">
        <v>5</v>
      </c>
      <c r="G617">
        <v>1</v>
      </c>
      <c r="H617">
        <v>2</v>
      </c>
      <c r="I617">
        <v>563333</v>
      </c>
      <c r="J617">
        <v>537896</v>
      </c>
      <c r="K617">
        <v>815</v>
      </c>
      <c r="L617">
        <v>134954</v>
      </c>
      <c r="M617">
        <v>753</v>
      </c>
      <c r="N617">
        <v>4671</v>
      </c>
      <c r="O617">
        <v>5424</v>
      </c>
    </row>
    <row r="618" spans="1:15" hidden="1" x14ac:dyDescent="0.25">
      <c r="A618" s="1">
        <v>41208</v>
      </c>
      <c r="B618">
        <v>4</v>
      </c>
      <c r="C618">
        <v>1</v>
      </c>
      <c r="D618">
        <v>10</v>
      </c>
      <c r="E618">
        <v>0</v>
      </c>
      <c r="F618">
        <v>5</v>
      </c>
      <c r="G618">
        <v>1</v>
      </c>
      <c r="H618">
        <v>2</v>
      </c>
      <c r="I618">
        <v>545833</v>
      </c>
      <c r="J618">
        <v>52275</v>
      </c>
      <c r="K618">
        <v>807083</v>
      </c>
      <c r="L618">
        <v>132467</v>
      </c>
      <c r="M618">
        <v>1182</v>
      </c>
      <c r="N618">
        <v>6262</v>
      </c>
      <c r="O618">
        <v>7444</v>
      </c>
    </row>
    <row r="619" spans="1:15" hidden="1" x14ac:dyDescent="0.25">
      <c r="A619" s="1">
        <v>41215</v>
      </c>
      <c r="B619">
        <v>4</v>
      </c>
      <c r="C619">
        <v>1</v>
      </c>
      <c r="D619">
        <v>11</v>
      </c>
      <c r="E619">
        <v>0</v>
      </c>
      <c r="F619">
        <v>5</v>
      </c>
      <c r="G619">
        <v>1</v>
      </c>
      <c r="H619">
        <v>1</v>
      </c>
      <c r="I619">
        <v>355</v>
      </c>
      <c r="J619">
        <v>356042</v>
      </c>
      <c r="K619">
        <v>522083</v>
      </c>
      <c r="L619">
        <v>266175</v>
      </c>
      <c r="M619">
        <v>618</v>
      </c>
      <c r="N619">
        <v>5229</v>
      </c>
      <c r="O619">
        <v>5847</v>
      </c>
    </row>
    <row r="620" spans="1:15" hidden="1" x14ac:dyDescent="0.25">
      <c r="A620" s="1">
        <v>41222</v>
      </c>
      <c r="B620">
        <v>4</v>
      </c>
      <c r="C620">
        <v>1</v>
      </c>
      <c r="D620">
        <v>11</v>
      </c>
      <c r="E620">
        <v>0</v>
      </c>
      <c r="F620">
        <v>5</v>
      </c>
      <c r="G620">
        <v>1</v>
      </c>
      <c r="H620">
        <v>1</v>
      </c>
      <c r="I620">
        <v>361667</v>
      </c>
      <c r="J620">
        <v>355413</v>
      </c>
      <c r="K620">
        <v>540833</v>
      </c>
      <c r="L620">
        <v>214558</v>
      </c>
      <c r="M620">
        <v>709</v>
      </c>
      <c r="N620">
        <v>5283</v>
      </c>
      <c r="O620">
        <v>5992</v>
      </c>
    </row>
    <row r="621" spans="1:15" hidden="1" x14ac:dyDescent="0.25">
      <c r="A621" s="1">
        <v>41229</v>
      </c>
      <c r="B621">
        <v>4</v>
      </c>
      <c r="C621">
        <v>1</v>
      </c>
      <c r="D621">
        <v>11</v>
      </c>
      <c r="E621">
        <v>0</v>
      </c>
      <c r="F621">
        <v>5</v>
      </c>
      <c r="G621">
        <v>1</v>
      </c>
      <c r="H621">
        <v>1</v>
      </c>
      <c r="I621">
        <v>345</v>
      </c>
      <c r="J621">
        <v>347204</v>
      </c>
      <c r="K621">
        <v>524583</v>
      </c>
      <c r="L621">
        <v>171025</v>
      </c>
      <c r="M621">
        <v>484</v>
      </c>
      <c r="N621">
        <v>5214</v>
      </c>
      <c r="O621">
        <v>5698</v>
      </c>
    </row>
    <row r="622" spans="1:15" hidden="1" x14ac:dyDescent="0.25">
      <c r="A622" s="1">
        <v>41236</v>
      </c>
      <c r="B622">
        <v>4</v>
      </c>
      <c r="C622">
        <v>1</v>
      </c>
      <c r="D622">
        <v>11</v>
      </c>
      <c r="E622">
        <v>0</v>
      </c>
      <c r="F622">
        <v>5</v>
      </c>
      <c r="G622">
        <v>1</v>
      </c>
      <c r="H622">
        <v>1</v>
      </c>
      <c r="I622">
        <v>368333</v>
      </c>
      <c r="J622">
        <v>378779</v>
      </c>
      <c r="K622">
        <v>56875</v>
      </c>
      <c r="L622">
        <v>148021</v>
      </c>
      <c r="M622">
        <v>1603</v>
      </c>
      <c r="N622">
        <v>2307</v>
      </c>
      <c r="O622">
        <v>3910</v>
      </c>
    </row>
    <row r="623" spans="1:15" hidden="1" x14ac:dyDescent="0.25">
      <c r="A623" s="1">
        <v>41243</v>
      </c>
      <c r="B623">
        <v>4</v>
      </c>
      <c r="C623">
        <v>1</v>
      </c>
      <c r="D623">
        <v>11</v>
      </c>
      <c r="E623">
        <v>0</v>
      </c>
      <c r="F623">
        <v>5</v>
      </c>
      <c r="G623">
        <v>1</v>
      </c>
      <c r="H623">
        <v>1</v>
      </c>
      <c r="I623">
        <v>298333</v>
      </c>
      <c r="J623">
        <v>323867</v>
      </c>
      <c r="K623">
        <v>649583</v>
      </c>
      <c r="L623">
        <v>584708</v>
      </c>
      <c r="M623">
        <v>362</v>
      </c>
      <c r="N623">
        <v>5306</v>
      </c>
      <c r="O623">
        <v>5668</v>
      </c>
    </row>
    <row r="624" spans="1:15" hidden="1" x14ac:dyDescent="0.25">
      <c r="A624" s="1">
        <v>41250</v>
      </c>
      <c r="B624">
        <v>4</v>
      </c>
      <c r="C624">
        <v>1</v>
      </c>
      <c r="D624">
        <v>12</v>
      </c>
      <c r="E624">
        <v>0</v>
      </c>
      <c r="F624">
        <v>5</v>
      </c>
      <c r="G624">
        <v>1</v>
      </c>
      <c r="H624">
        <v>2</v>
      </c>
      <c r="I624">
        <v>320833</v>
      </c>
      <c r="J624">
        <v>321958</v>
      </c>
      <c r="K624">
        <v>764167</v>
      </c>
      <c r="L624">
        <v>1306</v>
      </c>
      <c r="M624">
        <v>349</v>
      </c>
      <c r="N624">
        <v>4659</v>
      </c>
      <c r="O624">
        <v>5008</v>
      </c>
    </row>
    <row r="625" spans="1:15" hidden="1" x14ac:dyDescent="0.25">
      <c r="A625" s="1">
        <v>41257</v>
      </c>
      <c r="B625">
        <v>4</v>
      </c>
      <c r="C625">
        <v>1</v>
      </c>
      <c r="D625">
        <v>12</v>
      </c>
      <c r="E625">
        <v>0</v>
      </c>
      <c r="F625">
        <v>5</v>
      </c>
      <c r="G625">
        <v>1</v>
      </c>
      <c r="H625">
        <v>1</v>
      </c>
      <c r="I625">
        <v>281667</v>
      </c>
      <c r="J625">
        <v>294192</v>
      </c>
      <c r="K625">
        <v>642917</v>
      </c>
      <c r="L625">
        <v>131229</v>
      </c>
      <c r="M625">
        <v>429</v>
      </c>
      <c r="N625">
        <v>5182</v>
      </c>
      <c r="O625">
        <v>5611</v>
      </c>
    </row>
    <row r="626" spans="1:15" hidden="1" x14ac:dyDescent="0.25">
      <c r="A626" s="1">
        <v>41264</v>
      </c>
      <c r="B626">
        <v>1</v>
      </c>
      <c r="C626">
        <v>1</v>
      </c>
      <c r="D626">
        <v>12</v>
      </c>
      <c r="E626">
        <v>0</v>
      </c>
      <c r="F626">
        <v>5</v>
      </c>
      <c r="G626">
        <v>1</v>
      </c>
      <c r="H626">
        <v>2</v>
      </c>
      <c r="I626">
        <v>326667</v>
      </c>
      <c r="J626">
        <v>301767</v>
      </c>
      <c r="K626">
        <v>556667</v>
      </c>
      <c r="L626">
        <v>374383</v>
      </c>
      <c r="M626">
        <v>221</v>
      </c>
      <c r="N626">
        <v>3402</v>
      </c>
      <c r="O626">
        <v>3623</v>
      </c>
    </row>
    <row r="627" spans="1:15" hidden="1" x14ac:dyDescent="0.25">
      <c r="A627" s="1">
        <v>41271</v>
      </c>
      <c r="B627">
        <v>1</v>
      </c>
      <c r="C627">
        <v>1</v>
      </c>
      <c r="D627">
        <v>12</v>
      </c>
      <c r="E627">
        <v>0</v>
      </c>
      <c r="F627">
        <v>5</v>
      </c>
      <c r="G627">
        <v>1</v>
      </c>
      <c r="H627">
        <v>2</v>
      </c>
      <c r="I627">
        <v>253333</v>
      </c>
      <c r="J627">
        <v>255046</v>
      </c>
      <c r="K627">
        <v>59</v>
      </c>
      <c r="L627">
        <v>155471</v>
      </c>
      <c r="M627">
        <v>644</v>
      </c>
      <c r="N627">
        <v>2451</v>
      </c>
      <c r="O627">
        <v>3095</v>
      </c>
    </row>
    <row r="628" spans="1:15" x14ac:dyDescent="0.25">
      <c r="A628" s="1">
        <v>40544</v>
      </c>
      <c r="B628">
        <v>1</v>
      </c>
      <c r="C628">
        <v>0</v>
      </c>
      <c r="D628">
        <v>1</v>
      </c>
      <c r="E628">
        <v>0</v>
      </c>
      <c r="F628">
        <v>6</v>
      </c>
      <c r="G628">
        <v>0</v>
      </c>
      <c r="H628">
        <v>2</v>
      </c>
      <c r="I628">
        <v>344167</v>
      </c>
      <c r="J628">
        <v>363625</v>
      </c>
      <c r="K628">
        <v>805833</v>
      </c>
      <c r="L628">
        <v>160446</v>
      </c>
      <c r="M628">
        <v>331</v>
      </c>
      <c r="N628">
        <v>654</v>
      </c>
      <c r="O628">
        <v>985</v>
      </c>
    </row>
    <row r="629" spans="1:15" x14ac:dyDescent="0.25">
      <c r="A629" s="1">
        <v>40551</v>
      </c>
      <c r="B629">
        <v>1</v>
      </c>
      <c r="C629">
        <v>0</v>
      </c>
      <c r="D629">
        <v>1</v>
      </c>
      <c r="E629">
        <v>0</v>
      </c>
      <c r="F629">
        <v>6</v>
      </c>
      <c r="G629">
        <v>0</v>
      </c>
      <c r="H629">
        <v>2</v>
      </c>
      <c r="I629">
        <v>165</v>
      </c>
      <c r="J629">
        <v>162254</v>
      </c>
      <c r="K629">
        <v>535833</v>
      </c>
      <c r="L629">
        <v>266804</v>
      </c>
      <c r="M629">
        <v>68</v>
      </c>
      <c r="N629">
        <v>891</v>
      </c>
      <c r="O629">
        <v>959</v>
      </c>
    </row>
    <row r="630" spans="1:15" x14ac:dyDescent="0.25">
      <c r="A630" s="1">
        <v>40558</v>
      </c>
      <c r="B630">
        <v>1</v>
      </c>
      <c r="C630">
        <v>0</v>
      </c>
      <c r="D630">
        <v>1</v>
      </c>
      <c r="E630">
        <v>0</v>
      </c>
      <c r="F630">
        <v>6</v>
      </c>
      <c r="G630">
        <v>0</v>
      </c>
      <c r="H630">
        <v>2</v>
      </c>
      <c r="I630">
        <v>233333</v>
      </c>
      <c r="J630">
        <v>248112</v>
      </c>
      <c r="K630">
        <v>49875</v>
      </c>
      <c r="L630">
        <v>157963</v>
      </c>
      <c r="M630">
        <v>222</v>
      </c>
      <c r="N630">
        <v>1026</v>
      </c>
      <c r="O630">
        <v>1248</v>
      </c>
    </row>
    <row r="631" spans="1:15" x14ac:dyDescent="0.25">
      <c r="A631" s="1">
        <v>40565</v>
      </c>
      <c r="B631">
        <v>1</v>
      </c>
      <c r="C631">
        <v>0</v>
      </c>
      <c r="D631">
        <v>1</v>
      </c>
      <c r="E631">
        <v>0</v>
      </c>
      <c r="F631">
        <v>6</v>
      </c>
      <c r="G631">
        <v>0</v>
      </c>
      <c r="H631">
        <v>1</v>
      </c>
      <c r="I631">
        <v>591304</v>
      </c>
      <c r="J631">
        <v>790696</v>
      </c>
      <c r="K631">
        <v>4</v>
      </c>
      <c r="L631">
        <v>17197</v>
      </c>
      <c r="M631">
        <v>93</v>
      </c>
      <c r="N631">
        <v>888</v>
      </c>
      <c r="O631">
        <v>981</v>
      </c>
    </row>
    <row r="632" spans="1:15" x14ac:dyDescent="0.25">
      <c r="A632" s="1">
        <v>40572</v>
      </c>
      <c r="B632">
        <v>1</v>
      </c>
      <c r="C632">
        <v>0</v>
      </c>
      <c r="D632">
        <v>1</v>
      </c>
      <c r="E632">
        <v>0</v>
      </c>
      <c r="F632">
        <v>6</v>
      </c>
      <c r="G632">
        <v>0</v>
      </c>
      <c r="H632">
        <v>1</v>
      </c>
      <c r="I632">
        <v>196522</v>
      </c>
      <c r="J632">
        <v>212126</v>
      </c>
      <c r="K632">
        <v>651739</v>
      </c>
      <c r="L632">
        <v>145365</v>
      </c>
      <c r="M632">
        <v>123</v>
      </c>
      <c r="N632">
        <v>975</v>
      </c>
      <c r="O632">
        <v>1098</v>
      </c>
    </row>
    <row r="633" spans="1:15" x14ac:dyDescent="0.25">
      <c r="A633" s="1">
        <v>40579</v>
      </c>
      <c r="B633">
        <v>1</v>
      </c>
      <c r="C633">
        <v>0</v>
      </c>
      <c r="D633">
        <v>2</v>
      </c>
      <c r="E633">
        <v>0</v>
      </c>
      <c r="F633">
        <v>6</v>
      </c>
      <c r="G633">
        <v>0</v>
      </c>
      <c r="H633">
        <v>2</v>
      </c>
      <c r="I633">
        <v>233333</v>
      </c>
      <c r="J633">
        <v>243058</v>
      </c>
      <c r="K633">
        <v>929167</v>
      </c>
      <c r="L633">
        <v>161079</v>
      </c>
      <c r="M633">
        <v>100</v>
      </c>
      <c r="N633">
        <v>905</v>
      </c>
      <c r="O633">
        <v>1005</v>
      </c>
    </row>
    <row r="634" spans="1:15" x14ac:dyDescent="0.25">
      <c r="A634" s="1">
        <v>40586</v>
      </c>
      <c r="B634">
        <v>1</v>
      </c>
      <c r="C634">
        <v>0</v>
      </c>
      <c r="D634">
        <v>2</v>
      </c>
      <c r="E634">
        <v>0</v>
      </c>
      <c r="F634">
        <v>6</v>
      </c>
      <c r="G634">
        <v>0</v>
      </c>
      <c r="H634">
        <v>1</v>
      </c>
      <c r="I634">
        <v>2225</v>
      </c>
      <c r="J634">
        <v>232954</v>
      </c>
      <c r="K634">
        <v>544167</v>
      </c>
      <c r="L634">
        <v>203367</v>
      </c>
      <c r="M634">
        <v>288</v>
      </c>
      <c r="N634">
        <v>1184</v>
      </c>
      <c r="O634">
        <v>1472</v>
      </c>
    </row>
    <row r="635" spans="1:15" x14ac:dyDescent="0.25">
      <c r="A635" s="1">
        <v>40593</v>
      </c>
      <c r="B635">
        <v>1</v>
      </c>
      <c r="C635">
        <v>0</v>
      </c>
      <c r="D635">
        <v>2</v>
      </c>
      <c r="E635">
        <v>0</v>
      </c>
      <c r="F635">
        <v>6</v>
      </c>
      <c r="G635">
        <v>0</v>
      </c>
      <c r="H635">
        <v>1</v>
      </c>
      <c r="I635">
        <v>399167</v>
      </c>
      <c r="J635">
        <v>391404</v>
      </c>
      <c r="K635">
        <v>187917</v>
      </c>
      <c r="L635">
        <v>507463</v>
      </c>
      <c r="M635">
        <v>532</v>
      </c>
      <c r="N635">
        <v>1103</v>
      </c>
      <c r="O635">
        <v>1635</v>
      </c>
    </row>
    <row r="636" spans="1:15" x14ac:dyDescent="0.25">
      <c r="A636" s="1">
        <v>40600</v>
      </c>
      <c r="B636">
        <v>1</v>
      </c>
      <c r="C636">
        <v>0</v>
      </c>
      <c r="D636">
        <v>2</v>
      </c>
      <c r="E636">
        <v>0</v>
      </c>
      <c r="F636">
        <v>6</v>
      </c>
      <c r="G636">
        <v>0</v>
      </c>
      <c r="H636">
        <v>1</v>
      </c>
      <c r="I636">
        <v>2825</v>
      </c>
      <c r="J636">
        <v>282192</v>
      </c>
      <c r="K636">
        <v>537917</v>
      </c>
      <c r="L636">
        <v>186571</v>
      </c>
      <c r="M636">
        <v>424</v>
      </c>
      <c r="N636">
        <v>1545</v>
      </c>
      <c r="O636">
        <v>1969</v>
      </c>
    </row>
    <row r="637" spans="1:15" x14ac:dyDescent="0.25">
      <c r="A637" s="1">
        <v>40607</v>
      </c>
      <c r="B637">
        <v>1</v>
      </c>
      <c r="C637">
        <v>0</v>
      </c>
      <c r="D637">
        <v>3</v>
      </c>
      <c r="E637">
        <v>0</v>
      </c>
      <c r="F637">
        <v>6</v>
      </c>
      <c r="G637">
        <v>0</v>
      </c>
      <c r="H637">
        <v>2</v>
      </c>
      <c r="I637">
        <v>384167</v>
      </c>
      <c r="J637">
        <v>378779</v>
      </c>
      <c r="K637">
        <v>789167</v>
      </c>
      <c r="L637">
        <v>251871</v>
      </c>
      <c r="M637">
        <v>640</v>
      </c>
      <c r="N637">
        <v>1437</v>
      </c>
      <c r="O637">
        <v>2077</v>
      </c>
    </row>
    <row r="638" spans="1:15" x14ac:dyDescent="0.25">
      <c r="A638" s="1">
        <v>40614</v>
      </c>
      <c r="B638">
        <v>1</v>
      </c>
      <c r="C638">
        <v>0</v>
      </c>
      <c r="D638">
        <v>3</v>
      </c>
      <c r="E638">
        <v>0</v>
      </c>
      <c r="F638">
        <v>6</v>
      </c>
      <c r="G638">
        <v>0</v>
      </c>
      <c r="H638">
        <v>1</v>
      </c>
      <c r="I638">
        <v>329167</v>
      </c>
      <c r="J638">
        <v>32575</v>
      </c>
      <c r="K638">
        <v>594583</v>
      </c>
      <c r="L638">
        <v>220775</v>
      </c>
      <c r="M638">
        <v>724</v>
      </c>
      <c r="N638">
        <v>1408</v>
      </c>
      <c r="O638">
        <v>2132</v>
      </c>
    </row>
    <row r="639" spans="1:15" x14ac:dyDescent="0.25">
      <c r="A639" s="1">
        <v>40621</v>
      </c>
      <c r="B639">
        <v>1</v>
      </c>
      <c r="C639">
        <v>0</v>
      </c>
      <c r="D639">
        <v>3</v>
      </c>
      <c r="E639">
        <v>0</v>
      </c>
      <c r="F639">
        <v>6</v>
      </c>
      <c r="G639">
        <v>0</v>
      </c>
      <c r="H639">
        <v>1</v>
      </c>
      <c r="I639">
        <v>4725</v>
      </c>
      <c r="J639">
        <v>466525</v>
      </c>
      <c r="K639">
        <v>379167</v>
      </c>
      <c r="L639">
        <v>368167</v>
      </c>
      <c r="M639">
        <v>1424</v>
      </c>
      <c r="N639">
        <v>1693</v>
      </c>
      <c r="O639">
        <v>3117</v>
      </c>
    </row>
    <row r="640" spans="1:15" x14ac:dyDescent="0.25">
      <c r="A640" s="1">
        <v>40628</v>
      </c>
      <c r="B640">
        <v>2</v>
      </c>
      <c r="C640">
        <v>0</v>
      </c>
      <c r="D640">
        <v>3</v>
      </c>
      <c r="E640">
        <v>0</v>
      </c>
      <c r="F640">
        <v>6</v>
      </c>
      <c r="G640">
        <v>0</v>
      </c>
      <c r="H640">
        <v>1</v>
      </c>
      <c r="I640">
        <v>265833</v>
      </c>
      <c r="J640">
        <v>257571</v>
      </c>
      <c r="K640">
        <v>394167</v>
      </c>
      <c r="L640">
        <v>209571</v>
      </c>
      <c r="M640">
        <v>981</v>
      </c>
      <c r="N640">
        <v>1515</v>
      </c>
      <c r="O640">
        <v>2496</v>
      </c>
    </row>
    <row r="641" spans="1:15" x14ac:dyDescent="0.25">
      <c r="A641" s="1">
        <v>40635</v>
      </c>
      <c r="B641">
        <v>2</v>
      </c>
      <c r="C641">
        <v>0</v>
      </c>
      <c r="D641">
        <v>4</v>
      </c>
      <c r="E641">
        <v>0</v>
      </c>
      <c r="F641">
        <v>6</v>
      </c>
      <c r="G641">
        <v>0</v>
      </c>
      <c r="H641">
        <v>2</v>
      </c>
      <c r="I641">
        <v>315</v>
      </c>
      <c r="J641">
        <v>315637</v>
      </c>
      <c r="K641">
        <v>65375</v>
      </c>
      <c r="L641">
        <v>197146</v>
      </c>
      <c r="M641">
        <v>898</v>
      </c>
      <c r="N641">
        <v>1354</v>
      </c>
      <c r="O641">
        <v>2252</v>
      </c>
    </row>
    <row r="642" spans="1:15" x14ac:dyDescent="0.25">
      <c r="A642" s="1">
        <v>40642</v>
      </c>
      <c r="B642">
        <v>2</v>
      </c>
      <c r="C642">
        <v>0</v>
      </c>
      <c r="D642">
        <v>4</v>
      </c>
      <c r="E642">
        <v>0</v>
      </c>
      <c r="F642">
        <v>6</v>
      </c>
      <c r="G642">
        <v>0</v>
      </c>
      <c r="H642">
        <v>2</v>
      </c>
      <c r="I642">
        <v>3425</v>
      </c>
      <c r="J642">
        <v>341529</v>
      </c>
      <c r="K642">
        <v>8775</v>
      </c>
      <c r="L642">
        <v>133083</v>
      </c>
      <c r="M642">
        <v>879</v>
      </c>
      <c r="N642">
        <v>1576</v>
      </c>
      <c r="O642">
        <v>2455</v>
      </c>
    </row>
    <row r="643" spans="1:15" x14ac:dyDescent="0.25">
      <c r="A643" s="1">
        <v>40649</v>
      </c>
      <c r="B643">
        <v>2</v>
      </c>
      <c r="C643">
        <v>0</v>
      </c>
      <c r="D643">
        <v>4</v>
      </c>
      <c r="E643">
        <v>0</v>
      </c>
      <c r="F643">
        <v>6</v>
      </c>
      <c r="G643">
        <v>0</v>
      </c>
      <c r="H643">
        <v>3</v>
      </c>
      <c r="I643">
        <v>430833</v>
      </c>
      <c r="J643">
        <v>425492</v>
      </c>
      <c r="K643">
        <v>888333</v>
      </c>
      <c r="L643">
        <v>340808</v>
      </c>
      <c r="M643">
        <v>121</v>
      </c>
      <c r="N643">
        <v>674</v>
      </c>
      <c r="O643">
        <v>795</v>
      </c>
    </row>
    <row r="644" spans="1:15" x14ac:dyDescent="0.25">
      <c r="A644" s="1">
        <v>40656</v>
      </c>
      <c r="B644">
        <v>2</v>
      </c>
      <c r="C644">
        <v>0</v>
      </c>
      <c r="D644">
        <v>4</v>
      </c>
      <c r="E644">
        <v>0</v>
      </c>
      <c r="F644">
        <v>6</v>
      </c>
      <c r="G644">
        <v>0</v>
      </c>
      <c r="H644">
        <v>2</v>
      </c>
      <c r="I644">
        <v>46</v>
      </c>
      <c r="J644">
        <v>450121</v>
      </c>
      <c r="K644">
        <v>887917</v>
      </c>
      <c r="L644">
        <v>230725</v>
      </c>
      <c r="M644">
        <v>1462</v>
      </c>
      <c r="N644">
        <v>2574</v>
      </c>
      <c r="O644">
        <v>4036</v>
      </c>
    </row>
    <row r="645" spans="1:15" x14ac:dyDescent="0.25">
      <c r="A645" s="1">
        <v>40663</v>
      </c>
      <c r="B645">
        <v>2</v>
      </c>
      <c r="C645">
        <v>0</v>
      </c>
      <c r="D645">
        <v>4</v>
      </c>
      <c r="E645">
        <v>0</v>
      </c>
      <c r="F645">
        <v>6</v>
      </c>
      <c r="G645">
        <v>0</v>
      </c>
      <c r="H645">
        <v>1</v>
      </c>
      <c r="I645">
        <v>4725</v>
      </c>
      <c r="J645">
        <v>464021</v>
      </c>
      <c r="K645">
        <v>503333</v>
      </c>
      <c r="L645">
        <v>235075</v>
      </c>
      <c r="M645">
        <v>1965</v>
      </c>
      <c r="N645">
        <v>3347</v>
      </c>
      <c r="O645">
        <v>5312</v>
      </c>
    </row>
    <row r="646" spans="1:15" x14ac:dyDescent="0.25">
      <c r="A646" s="1">
        <v>40670</v>
      </c>
      <c r="B646">
        <v>2</v>
      </c>
      <c r="C646">
        <v>0</v>
      </c>
      <c r="D646">
        <v>5</v>
      </c>
      <c r="E646">
        <v>0</v>
      </c>
      <c r="F646">
        <v>6</v>
      </c>
      <c r="G646">
        <v>0</v>
      </c>
      <c r="H646">
        <v>1</v>
      </c>
      <c r="I646">
        <v>52</v>
      </c>
      <c r="J646">
        <v>512621</v>
      </c>
      <c r="K646">
        <v>54125</v>
      </c>
      <c r="L646">
        <v>16045</v>
      </c>
      <c r="M646">
        <v>1612</v>
      </c>
      <c r="N646">
        <v>3102</v>
      </c>
      <c r="O646">
        <v>4714</v>
      </c>
    </row>
    <row r="647" spans="1:15" x14ac:dyDescent="0.25">
      <c r="A647" s="1">
        <v>40677</v>
      </c>
      <c r="B647">
        <v>2</v>
      </c>
      <c r="C647">
        <v>0</v>
      </c>
      <c r="D647">
        <v>5</v>
      </c>
      <c r="E647">
        <v>0</v>
      </c>
      <c r="F647">
        <v>6</v>
      </c>
      <c r="G647">
        <v>0</v>
      </c>
      <c r="H647">
        <v>2</v>
      </c>
      <c r="I647">
        <v>520833</v>
      </c>
      <c r="J647">
        <v>500629</v>
      </c>
      <c r="K647">
        <v>9225</v>
      </c>
      <c r="L647">
        <v>13495</v>
      </c>
      <c r="M647">
        <v>902</v>
      </c>
      <c r="N647">
        <v>2507</v>
      </c>
      <c r="O647">
        <v>3409</v>
      </c>
    </row>
    <row r="648" spans="1:15" x14ac:dyDescent="0.25">
      <c r="A648" s="1">
        <v>40684</v>
      </c>
      <c r="B648">
        <v>2</v>
      </c>
      <c r="C648">
        <v>0</v>
      </c>
      <c r="D648">
        <v>5</v>
      </c>
      <c r="E648">
        <v>0</v>
      </c>
      <c r="F648">
        <v>6</v>
      </c>
      <c r="G648">
        <v>0</v>
      </c>
      <c r="H648">
        <v>1</v>
      </c>
      <c r="I648">
        <v>6025</v>
      </c>
      <c r="J648">
        <v>571975</v>
      </c>
      <c r="K648">
        <v>626667</v>
      </c>
      <c r="L648">
        <v>12065</v>
      </c>
      <c r="M648">
        <v>2258</v>
      </c>
      <c r="N648">
        <v>3547</v>
      </c>
      <c r="O648">
        <v>5805</v>
      </c>
    </row>
    <row r="649" spans="1:15" x14ac:dyDescent="0.25">
      <c r="A649" s="1">
        <v>40691</v>
      </c>
      <c r="B649">
        <v>2</v>
      </c>
      <c r="C649">
        <v>0</v>
      </c>
      <c r="D649">
        <v>5</v>
      </c>
      <c r="E649">
        <v>0</v>
      </c>
      <c r="F649">
        <v>6</v>
      </c>
      <c r="G649">
        <v>0</v>
      </c>
      <c r="H649">
        <v>1</v>
      </c>
      <c r="I649">
        <v>655833</v>
      </c>
      <c r="J649">
        <v>612379</v>
      </c>
      <c r="K649">
        <v>729583</v>
      </c>
      <c r="L649">
        <v>230092</v>
      </c>
      <c r="M649">
        <v>2001</v>
      </c>
      <c r="N649">
        <v>2757</v>
      </c>
      <c r="O649">
        <v>4758</v>
      </c>
    </row>
    <row r="650" spans="1:15" x14ac:dyDescent="0.25">
      <c r="A650" s="1">
        <v>40698</v>
      </c>
      <c r="B650">
        <v>2</v>
      </c>
      <c r="C650">
        <v>0</v>
      </c>
      <c r="D650">
        <v>6</v>
      </c>
      <c r="E650">
        <v>0</v>
      </c>
      <c r="F650">
        <v>6</v>
      </c>
      <c r="G650">
        <v>0</v>
      </c>
      <c r="H650">
        <v>1</v>
      </c>
      <c r="I650">
        <v>635</v>
      </c>
      <c r="J650">
        <v>594696</v>
      </c>
      <c r="K650">
        <v>45625</v>
      </c>
      <c r="L650">
        <v>123142</v>
      </c>
      <c r="M650">
        <v>1869</v>
      </c>
      <c r="N650">
        <v>3473</v>
      </c>
      <c r="O650">
        <v>5342</v>
      </c>
    </row>
    <row r="651" spans="1:15" x14ac:dyDescent="0.25">
      <c r="A651" s="1">
        <v>40705</v>
      </c>
      <c r="B651">
        <v>2</v>
      </c>
      <c r="C651">
        <v>0</v>
      </c>
      <c r="D651">
        <v>6</v>
      </c>
      <c r="E651">
        <v>0</v>
      </c>
      <c r="F651">
        <v>6</v>
      </c>
      <c r="G651">
        <v>0</v>
      </c>
      <c r="H651">
        <v>1</v>
      </c>
      <c r="I651">
        <v>725</v>
      </c>
      <c r="J651">
        <v>678038</v>
      </c>
      <c r="K651">
        <v>654583</v>
      </c>
      <c r="L651">
        <v>15485</v>
      </c>
      <c r="M651">
        <v>1729</v>
      </c>
      <c r="N651">
        <v>3237</v>
      </c>
      <c r="O651">
        <v>4966</v>
      </c>
    </row>
    <row r="652" spans="1:15" x14ac:dyDescent="0.25">
      <c r="A652" s="1">
        <v>40712</v>
      </c>
      <c r="B652">
        <v>2</v>
      </c>
      <c r="C652">
        <v>0</v>
      </c>
      <c r="D652">
        <v>6</v>
      </c>
      <c r="E652">
        <v>0</v>
      </c>
      <c r="F652">
        <v>6</v>
      </c>
      <c r="G652">
        <v>0</v>
      </c>
      <c r="H652">
        <v>1</v>
      </c>
      <c r="I652">
        <v>696667</v>
      </c>
      <c r="J652">
        <v>643954</v>
      </c>
      <c r="K652">
        <v>670417</v>
      </c>
      <c r="L652">
        <v>119408</v>
      </c>
      <c r="M652">
        <v>1807</v>
      </c>
      <c r="N652">
        <v>3312</v>
      </c>
      <c r="O652">
        <v>5119</v>
      </c>
    </row>
    <row r="653" spans="1:15" x14ac:dyDescent="0.25">
      <c r="A653" s="1">
        <v>40719</v>
      </c>
      <c r="B653">
        <v>3</v>
      </c>
      <c r="C653">
        <v>0</v>
      </c>
      <c r="D653">
        <v>6</v>
      </c>
      <c r="E653">
        <v>0</v>
      </c>
      <c r="F653">
        <v>6</v>
      </c>
      <c r="G653">
        <v>0</v>
      </c>
      <c r="H653">
        <v>1</v>
      </c>
      <c r="I653">
        <v>695</v>
      </c>
      <c r="J653">
        <v>643313</v>
      </c>
      <c r="K653">
        <v>483333</v>
      </c>
      <c r="L653">
        <v>209571</v>
      </c>
      <c r="M653">
        <v>1782</v>
      </c>
      <c r="N653">
        <v>3420</v>
      </c>
      <c r="O653">
        <v>5202</v>
      </c>
    </row>
    <row r="654" spans="1:15" x14ac:dyDescent="0.25">
      <c r="A654" s="1">
        <v>40726</v>
      </c>
      <c r="B654">
        <v>3</v>
      </c>
      <c r="C654">
        <v>0</v>
      </c>
      <c r="D654">
        <v>7</v>
      </c>
      <c r="E654">
        <v>0</v>
      </c>
      <c r="F654">
        <v>6</v>
      </c>
      <c r="G654">
        <v>0</v>
      </c>
      <c r="H654">
        <v>1</v>
      </c>
      <c r="I654">
        <v>738333</v>
      </c>
      <c r="J654">
        <v>667308</v>
      </c>
      <c r="K654">
        <v>444583</v>
      </c>
      <c r="L654">
        <v>115062</v>
      </c>
      <c r="M654">
        <v>2204</v>
      </c>
      <c r="N654">
        <v>2915</v>
      </c>
      <c r="O654">
        <v>5119</v>
      </c>
    </row>
    <row r="655" spans="1:15" x14ac:dyDescent="0.25">
      <c r="A655" s="1">
        <v>40733</v>
      </c>
      <c r="B655">
        <v>3</v>
      </c>
      <c r="C655">
        <v>0</v>
      </c>
      <c r="D655">
        <v>7</v>
      </c>
      <c r="E655">
        <v>0</v>
      </c>
      <c r="F655">
        <v>6</v>
      </c>
      <c r="G655">
        <v>0</v>
      </c>
      <c r="H655">
        <v>1</v>
      </c>
      <c r="I655">
        <v>733333</v>
      </c>
      <c r="J655">
        <v>664158</v>
      </c>
      <c r="K655">
        <v>609167</v>
      </c>
      <c r="L655">
        <v>167912</v>
      </c>
      <c r="M655">
        <v>1988</v>
      </c>
      <c r="N655">
        <v>3348</v>
      </c>
      <c r="O655">
        <v>5336</v>
      </c>
    </row>
    <row r="656" spans="1:15" x14ac:dyDescent="0.25">
      <c r="A656" s="1">
        <v>40740</v>
      </c>
      <c r="B656">
        <v>3</v>
      </c>
      <c r="C656">
        <v>0</v>
      </c>
      <c r="D656">
        <v>7</v>
      </c>
      <c r="E656">
        <v>0</v>
      </c>
      <c r="F656">
        <v>6</v>
      </c>
      <c r="G656">
        <v>0</v>
      </c>
      <c r="H656">
        <v>1</v>
      </c>
      <c r="I656">
        <v>686667</v>
      </c>
      <c r="J656">
        <v>638263</v>
      </c>
      <c r="K656">
        <v>585</v>
      </c>
      <c r="L656">
        <v>208342</v>
      </c>
      <c r="M656">
        <v>2418</v>
      </c>
      <c r="N656">
        <v>3505</v>
      </c>
      <c r="O656">
        <v>5923</v>
      </c>
    </row>
    <row r="657" spans="1:15" x14ac:dyDescent="0.25">
      <c r="A657" s="1">
        <v>40747</v>
      </c>
      <c r="B657">
        <v>3</v>
      </c>
      <c r="C657">
        <v>0</v>
      </c>
      <c r="D657">
        <v>7</v>
      </c>
      <c r="E657">
        <v>0</v>
      </c>
      <c r="F657">
        <v>6</v>
      </c>
      <c r="G657">
        <v>0</v>
      </c>
      <c r="H657">
        <v>1</v>
      </c>
      <c r="I657">
        <v>849167</v>
      </c>
      <c r="J657">
        <v>804287</v>
      </c>
      <c r="K657">
        <v>5</v>
      </c>
      <c r="L657">
        <v>131221</v>
      </c>
      <c r="M657">
        <v>987</v>
      </c>
      <c r="N657">
        <v>2298</v>
      </c>
      <c r="O657">
        <v>3285</v>
      </c>
    </row>
    <row r="658" spans="1:15" x14ac:dyDescent="0.25">
      <c r="A658" s="1">
        <v>40754</v>
      </c>
      <c r="B658">
        <v>3</v>
      </c>
      <c r="C658">
        <v>0</v>
      </c>
      <c r="D658">
        <v>7</v>
      </c>
      <c r="E658">
        <v>0</v>
      </c>
      <c r="F658">
        <v>6</v>
      </c>
      <c r="G658">
        <v>0</v>
      </c>
      <c r="H658">
        <v>1</v>
      </c>
      <c r="I658">
        <v>804167</v>
      </c>
      <c r="J658">
        <v>728537</v>
      </c>
      <c r="K658">
        <v>465833</v>
      </c>
      <c r="L658">
        <v>168537</v>
      </c>
      <c r="M658">
        <v>1559</v>
      </c>
      <c r="N658">
        <v>2916</v>
      </c>
      <c r="O658">
        <v>4475</v>
      </c>
    </row>
    <row r="659" spans="1:15" x14ac:dyDescent="0.25">
      <c r="A659" s="1">
        <v>40761</v>
      </c>
      <c r="B659">
        <v>3</v>
      </c>
      <c r="C659">
        <v>0</v>
      </c>
      <c r="D659">
        <v>8</v>
      </c>
      <c r="E659">
        <v>0</v>
      </c>
      <c r="F659">
        <v>6</v>
      </c>
      <c r="G659">
        <v>0</v>
      </c>
      <c r="H659">
        <v>2</v>
      </c>
      <c r="I659">
        <v>716667</v>
      </c>
      <c r="J659">
        <v>676154</v>
      </c>
      <c r="K659">
        <v>755</v>
      </c>
      <c r="L659">
        <v>22825</v>
      </c>
      <c r="M659">
        <v>1521</v>
      </c>
      <c r="N659">
        <v>2773</v>
      </c>
      <c r="O659">
        <v>4294</v>
      </c>
    </row>
    <row r="660" spans="1:15" x14ac:dyDescent="0.25">
      <c r="A660" s="1">
        <v>40768</v>
      </c>
      <c r="B660">
        <v>3</v>
      </c>
      <c r="C660">
        <v>0</v>
      </c>
      <c r="D660">
        <v>8</v>
      </c>
      <c r="E660">
        <v>0</v>
      </c>
      <c r="F660">
        <v>6</v>
      </c>
      <c r="G660">
        <v>0</v>
      </c>
      <c r="H660">
        <v>2</v>
      </c>
      <c r="I660">
        <v>685833</v>
      </c>
      <c r="J660">
        <v>645858</v>
      </c>
      <c r="K660">
        <v>729583</v>
      </c>
      <c r="L660">
        <v>211454</v>
      </c>
      <c r="M660">
        <v>1504</v>
      </c>
      <c r="N660">
        <v>2646</v>
      </c>
      <c r="O660">
        <v>4150</v>
      </c>
    </row>
    <row r="661" spans="1:15" x14ac:dyDescent="0.25">
      <c r="A661" s="1">
        <v>40775</v>
      </c>
      <c r="B661">
        <v>3</v>
      </c>
      <c r="C661">
        <v>0</v>
      </c>
      <c r="D661">
        <v>8</v>
      </c>
      <c r="E661">
        <v>0</v>
      </c>
      <c r="F661">
        <v>6</v>
      </c>
      <c r="G661">
        <v>0</v>
      </c>
      <c r="H661">
        <v>1</v>
      </c>
      <c r="I661">
        <v>6975</v>
      </c>
      <c r="J661">
        <v>648996</v>
      </c>
      <c r="K661">
        <v>674167</v>
      </c>
      <c r="L661">
        <v>104467</v>
      </c>
      <c r="M661">
        <v>1914</v>
      </c>
      <c r="N661">
        <v>3277</v>
      </c>
      <c r="O661">
        <v>5191</v>
      </c>
    </row>
    <row r="662" spans="1:15" x14ac:dyDescent="0.25">
      <c r="A662" s="1">
        <v>40782</v>
      </c>
      <c r="B662">
        <v>3</v>
      </c>
      <c r="C662">
        <v>0</v>
      </c>
      <c r="D662">
        <v>8</v>
      </c>
      <c r="E662">
        <v>0</v>
      </c>
      <c r="F662">
        <v>6</v>
      </c>
      <c r="G662">
        <v>0</v>
      </c>
      <c r="H662">
        <v>2</v>
      </c>
      <c r="I662">
        <v>68</v>
      </c>
      <c r="J662">
        <v>635556</v>
      </c>
      <c r="K662">
        <v>85</v>
      </c>
      <c r="L662">
        <v>375617</v>
      </c>
      <c r="M662">
        <v>226</v>
      </c>
      <c r="N662">
        <v>889</v>
      </c>
      <c r="O662">
        <v>1115</v>
      </c>
    </row>
    <row r="663" spans="1:15" x14ac:dyDescent="0.25">
      <c r="A663" s="1">
        <v>40789</v>
      </c>
      <c r="B663">
        <v>3</v>
      </c>
      <c r="C663">
        <v>0</v>
      </c>
      <c r="D663">
        <v>9</v>
      </c>
      <c r="E663">
        <v>0</v>
      </c>
      <c r="F663">
        <v>6</v>
      </c>
      <c r="G663">
        <v>0</v>
      </c>
      <c r="H663">
        <v>1</v>
      </c>
      <c r="I663">
        <v>669167</v>
      </c>
      <c r="J663">
        <v>633213</v>
      </c>
      <c r="K663">
        <v>716667</v>
      </c>
      <c r="L663">
        <v>185325</v>
      </c>
      <c r="M663">
        <v>1935</v>
      </c>
      <c r="N663">
        <v>2549</v>
      </c>
      <c r="O663">
        <v>4484</v>
      </c>
    </row>
    <row r="664" spans="1:15" x14ac:dyDescent="0.25">
      <c r="A664" s="1">
        <v>40796</v>
      </c>
      <c r="B664">
        <v>3</v>
      </c>
      <c r="C664">
        <v>0</v>
      </c>
      <c r="D664">
        <v>9</v>
      </c>
      <c r="E664">
        <v>0</v>
      </c>
      <c r="F664">
        <v>6</v>
      </c>
      <c r="G664">
        <v>0</v>
      </c>
      <c r="H664">
        <v>1</v>
      </c>
      <c r="I664">
        <v>66</v>
      </c>
      <c r="J664">
        <v>607962</v>
      </c>
      <c r="K664">
        <v>75375</v>
      </c>
      <c r="L664">
        <v>153608</v>
      </c>
      <c r="M664">
        <v>1750</v>
      </c>
      <c r="N664">
        <v>3595</v>
      </c>
      <c r="O664">
        <v>5345</v>
      </c>
    </row>
    <row r="665" spans="1:15" x14ac:dyDescent="0.25">
      <c r="A665" s="1">
        <v>40803</v>
      </c>
      <c r="B665">
        <v>3</v>
      </c>
      <c r="C665">
        <v>0</v>
      </c>
      <c r="D665">
        <v>9</v>
      </c>
      <c r="E665">
        <v>0</v>
      </c>
      <c r="F665">
        <v>6</v>
      </c>
      <c r="G665">
        <v>0</v>
      </c>
      <c r="H665">
        <v>2</v>
      </c>
      <c r="I665">
        <v>491667</v>
      </c>
      <c r="J665">
        <v>478512</v>
      </c>
      <c r="K665">
        <v>718333</v>
      </c>
      <c r="L665">
        <v>189675</v>
      </c>
      <c r="M665">
        <v>1434</v>
      </c>
      <c r="N665">
        <v>3077</v>
      </c>
      <c r="O665">
        <v>4511</v>
      </c>
    </row>
    <row r="666" spans="1:15" x14ac:dyDescent="0.25">
      <c r="A666" s="1">
        <v>40810</v>
      </c>
      <c r="B666">
        <v>4</v>
      </c>
      <c r="C666">
        <v>0</v>
      </c>
      <c r="D666">
        <v>9</v>
      </c>
      <c r="E666">
        <v>0</v>
      </c>
      <c r="F666">
        <v>6</v>
      </c>
      <c r="G666">
        <v>0</v>
      </c>
      <c r="H666">
        <v>2</v>
      </c>
      <c r="I666">
        <v>606667</v>
      </c>
      <c r="J666">
        <v>564412</v>
      </c>
      <c r="K666">
        <v>8625</v>
      </c>
      <c r="L666">
        <v>783833</v>
      </c>
      <c r="M666">
        <v>1776</v>
      </c>
      <c r="N666">
        <v>3647</v>
      </c>
      <c r="O666">
        <v>5423</v>
      </c>
    </row>
    <row r="667" spans="1:15" x14ac:dyDescent="0.25">
      <c r="A667" s="1">
        <v>40817</v>
      </c>
      <c r="B667">
        <v>4</v>
      </c>
      <c r="C667">
        <v>0</v>
      </c>
      <c r="D667">
        <v>10</v>
      </c>
      <c r="E667">
        <v>0</v>
      </c>
      <c r="F667">
        <v>6</v>
      </c>
      <c r="G667">
        <v>0</v>
      </c>
      <c r="H667">
        <v>2</v>
      </c>
      <c r="I667">
        <v>41</v>
      </c>
      <c r="J667">
        <v>412863</v>
      </c>
      <c r="K667">
        <v>75375</v>
      </c>
      <c r="L667">
        <v>292296</v>
      </c>
      <c r="M667">
        <v>480</v>
      </c>
      <c r="N667">
        <v>1949</v>
      </c>
      <c r="O667">
        <v>2429</v>
      </c>
    </row>
    <row r="668" spans="1:15" x14ac:dyDescent="0.25">
      <c r="A668" s="1">
        <v>40824</v>
      </c>
      <c r="B668">
        <v>4</v>
      </c>
      <c r="C668">
        <v>0</v>
      </c>
      <c r="D668">
        <v>10</v>
      </c>
      <c r="E668">
        <v>0</v>
      </c>
      <c r="F668">
        <v>6</v>
      </c>
      <c r="G668">
        <v>0</v>
      </c>
      <c r="H668">
        <v>1</v>
      </c>
      <c r="I668">
        <v>521667</v>
      </c>
      <c r="J668">
        <v>513242</v>
      </c>
      <c r="K668">
        <v>70125</v>
      </c>
      <c r="L668">
        <v>454042</v>
      </c>
      <c r="M668">
        <v>2235</v>
      </c>
      <c r="N668">
        <v>3174</v>
      </c>
      <c r="O668">
        <v>5409</v>
      </c>
    </row>
    <row r="669" spans="1:15" x14ac:dyDescent="0.25">
      <c r="A669" s="1">
        <v>40831</v>
      </c>
      <c r="B669">
        <v>4</v>
      </c>
      <c r="C669">
        <v>0</v>
      </c>
      <c r="D669">
        <v>10</v>
      </c>
      <c r="E669">
        <v>0</v>
      </c>
      <c r="F669">
        <v>6</v>
      </c>
      <c r="G669">
        <v>0</v>
      </c>
      <c r="H669">
        <v>1</v>
      </c>
      <c r="I669">
        <v>506667</v>
      </c>
      <c r="J669">
        <v>498725</v>
      </c>
      <c r="K669">
        <v>483333</v>
      </c>
      <c r="L669">
        <v>258083</v>
      </c>
      <c r="M669">
        <v>1899</v>
      </c>
      <c r="N669">
        <v>3318</v>
      </c>
      <c r="O669">
        <v>5217</v>
      </c>
    </row>
    <row r="670" spans="1:15" x14ac:dyDescent="0.25">
      <c r="A670" s="1">
        <v>40838</v>
      </c>
      <c r="B670">
        <v>4</v>
      </c>
      <c r="C670">
        <v>0</v>
      </c>
      <c r="D670">
        <v>10</v>
      </c>
      <c r="E670">
        <v>0</v>
      </c>
      <c r="F670">
        <v>6</v>
      </c>
      <c r="G670">
        <v>0</v>
      </c>
      <c r="H670">
        <v>1</v>
      </c>
      <c r="I670">
        <v>4225</v>
      </c>
      <c r="J670">
        <v>425492</v>
      </c>
      <c r="K670">
        <v>629167</v>
      </c>
      <c r="L670">
        <v>926667</v>
      </c>
      <c r="M670">
        <v>1499</v>
      </c>
      <c r="N670">
        <v>2809</v>
      </c>
      <c r="O670">
        <v>4308</v>
      </c>
    </row>
    <row r="671" spans="1:15" x14ac:dyDescent="0.25">
      <c r="A671" s="1">
        <v>40845</v>
      </c>
      <c r="B671">
        <v>4</v>
      </c>
      <c r="C671">
        <v>0</v>
      </c>
      <c r="D671">
        <v>10</v>
      </c>
      <c r="E671">
        <v>0</v>
      </c>
      <c r="F671">
        <v>6</v>
      </c>
      <c r="G671">
        <v>0</v>
      </c>
      <c r="H671">
        <v>3</v>
      </c>
      <c r="I671">
        <v>254167</v>
      </c>
      <c r="J671">
        <v>227913</v>
      </c>
      <c r="K671">
        <v>8825</v>
      </c>
      <c r="L671">
        <v>351371</v>
      </c>
      <c r="M671">
        <v>57</v>
      </c>
      <c r="N671">
        <v>570</v>
      </c>
      <c r="O671">
        <v>627</v>
      </c>
    </row>
    <row r="672" spans="1:15" x14ac:dyDescent="0.25">
      <c r="A672" s="1">
        <v>40852</v>
      </c>
      <c r="B672">
        <v>4</v>
      </c>
      <c r="C672">
        <v>0</v>
      </c>
      <c r="D672">
        <v>11</v>
      </c>
      <c r="E672">
        <v>0</v>
      </c>
      <c r="F672">
        <v>6</v>
      </c>
      <c r="G672">
        <v>0</v>
      </c>
      <c r="H672">
        <v>1</v>
      </c>
      <c r="I672">
        <v>326667</v>
      </c>
      <c r="J672">
        <v>323854</v>
      </c>
      <c r="K672">
        <v>519167</v>
      </c>
      <c r="L672">
        <v>189062</v>
      </c>
      <c r="M672">
        <v>1156</v>
      </c>
      <c r="N672">
        <v>2770</v>
      </c>
      <c r="O672">
        <v>3926</v>
      </c>
    </row>
    <row r="673" spans="1:15" x14ac:dyDescent="0.25">
      <c r="A673" s="1">
        <v>40859</v>
      </c>
      <c r="B673">
        <v>4</v>
      </c>
      <c r="C673">
        <v>0</v>
      </c>
      <c r="D673">
        <v>11</v>
      </c>
      <c r="E673">
        <v>0</v>
      </c>
      <c r="F673">
        <v>6</v>
      </c>
      <c r="G673">
        <v>0</v>
      </c>
      <c r="H673">
        <v>1</v>
      </c>
      <c r="I673">
        <v>356667</v>
      </c>
      <c r="J673">
        <v>357942</v>
      </c>
      <c r="K673">
        <v>552917</v>
      </c>
      <c r="L673">
        <v>212062</v>
      </c>
      <c r="M673">
        <v>1275</v>
      </c>
      <c r="N673">
        <v>2792</v>
      </c>
      <c r="O673">
        <v>4067</v>
      </c>
    </row>
    <row r="674" spans="1:15" x14ac:dyDescent="0.25">
      <c r="A674" s="1">
        <v>40866</v>
      </c>
      <c r="B674">
        <v>4</v>
      </c>
      <c r="C674">
        <v>0</v>
      </c>
      <c r="D674">
        <v>11</v>
      </c>
      <c r="E674">
        <v>0</v>
      </c>
      <c r="F674">
        <v>6</v>
      </c>
      <c r="G674">
        <v>0</v>
      </c>
      <c r="H674">
        <v>1</v>
      </c>
      <c r="I674">
        <v>329167</v>
      </c>
      <c r="J674">
        <v>324483</v>
      </c>
      <c r="K674">
        <v>502083</v>
      </c>
      <c r="L674">
        <v>224496</v>
      </c>
      <c r="M674">
        <v>943</v>
      </c>
      <c r="N674">
        <v>2720</v>
      </c>
      <c r="O674">
        <v>3663</v>
      </c>
    </row>
    <row r="675" spans="1:15" x14ac:dyDescent="0.25">
      <c r="A675" s="1">
        <v>40873</v>
      </c>
      <c r="B675">
        <v>4</v>
      </c>
      <c r="C675">
        <v>0</v>
      </c>
      <c r="D675">
        <v>11</v>
      </c>
      <c r="E675">
        <v>0</v>
      </c>
      <c r="F675">
        <v>6</v>
      </c>
      <c r="G675">
        <v>0</v>
      </c>
      <c r="H675">
        <v>1</v>
      </c>
      <c r="I675">
        <v>375833</v>
      </c>
      <c r="J675">
        <v>385087</v>
      </c>
      <c r="K675">
        <v>681667</v>
      </c>
      <c r="L675">
        <v>684208</v>
      </c>
      <c r="M675">
        <v>1249</v>
      </c>
      <c r="N675">
        <v>1819</v>
      </c>
      <c r="O675">
        <v>3068</v>
      </c>
    </row>
    <row r="676" spans="1:15" x14ac:dyDescent="0.25">
      <c r="A676" s="1">
        <v>40880</v>
      </c>
      <c r="B676">
        <v>4</v>
      </c>
      <c r="C676">
        <v>0</v>
      </c>
      <c r="D676">
        <v>12</v>
      </c>
      <c r="E676">
        <v>0</v>
      </c>
      <c r="F676">
        <v>6</v>
      </c>
      <c r="G676">
        <v>0</v>
      </c>
      <c r="H676">
        <v>1</v>
      </c>
      <c r="I676">
        <v>299167</v>
      </c>
      <c r="J676">
        <v>310604</v>
      </c>
      <c r="K676">
        <v>612917</v>
      </c>
      <c r="L676">
        <v>957833</v>
      </c>
      <c r="M676">
        <v>706</v>
      </c>
      <c r="N676">
        <v>2908</v>
      </c>
      <c r="O676">
        <v>3614</v>
      </c>
    </row>
    <row r="677" spans="1:15" x14ac:dyDescent="0.25">
      <c r="A677" s="1">
        <v>40887</v>
      </c>
      <c r="B677">
        <v>4</v>
      </c>
      <c r="C677">
        <v>0</v>
      </c>
      <c r="D677">
        <v>12</v>
      </c>
      <c r="E677">
        <v>0</v>
      </c>
      <c r="F677">
        <v>6</v>
      </c>
      <c r="G677">
        <v>0</v>
      </c>
      <c r="H677">
        <v>1</v>
      </c>
      <c r="I677">
        <v>275</v>
      </c>
      <c r="J677">
        <v>266412</v>
      </c>
      <c r="K677">
        <v>5075</v>
      </c>
      <c r="L677">
        <v>233221</v>
      </c>
      <c r="M677">
        <v>502</v>
      </c>
      <c r="N677">
        <v>2688</v>
      </c>
      <c r="O677">
        <v>3190</v>
      </c>
    </row>
    <row r="678" spans="1:15" x14ac:dyDescent="0.25">
      <c r="A678" s="1">
        <v>40894</v>
      </c>
      <c r="B678">
        <v>4</v>
      </c>
      <c r="C678">
        <v>0</v>
      </c>
      <c r="D678">
        <v>12</v>
      </c>
      <c r="E678">
        <v>0</v>
      </c>
      <c r="F678">
        <v>6</v>
      </c>
      <c r="G678">
        <v>0</v>
      </c>
      <c r="H678">
        <v>2</v>
      </c>
      <c r="I678">
        <v>258333</v>
      </c>
      <c r="J678">
        <v>249371</v>
      </c>
      <c r="K678">
        <v>560833</v>
      </c>
      <c r="L678">
        <v>243167</v>
      </c>
      <c r="M678">
        <v>275</v>
      </c>
      <c r="N678">
        <v>2464</v>
      </c>
      <c r="O678">
        <v>2739</v>
      </c>
    </row>
    <row r="679" spans="1:15" x14ac:dyDescent="0.25">
      <c r="A679" s="1">
        <v>40901</v>
      </c>
      <c r="B679">
        <v>1</v>
      </c>
      <c r="C679">
        <v>0</v>
      </c>
      <c r="D679">
        <v>12</v>
      </c>
      <c r="E679">
        <v>0</v>
      </c>
      <c r="F679">
        <v>6</v>
      </c>
      <c r="G679">
        <v>0</v>
      </c>
      <c r="H679">
        <v>1</v>
      </c>
      <c r="I679">
        <v>3025</v>
      </c>
      <c r="J679">
        <v>299242</v>
      </c>
      <c r="K679">
        <v>5425</v>
      </c>
      <c r="L679">
        <v>190304</v>
      </c>
      <c r="M679">
        <v>155</v>
      </c>
      <c r="N679">
        <v>856</v>
      </c>
      <c r="O679">
        <v>1011</v>
      </c>
    </row>
    <row r="680" spans="1:15" x14ac:dyDescent="0.25">
      <c r="A680" s="1">
        <v>40908</v>
      </c>
      <c r="B680">
        <v>1</v>
      </c>
      <c r="C680">
        <v>0</v>
      </c>
      <c r="D680">
        <v>12</v>
      </c>
      <c r="E680">
        <v>0</v>
      </c>
      <c r="F680">
        <v>6</v>
      </c>
      <c r="G680">
        <v>0</v>
      </c>
      <c r="H680">
        <v>1</v>
      </c>
      <c r="I680">
        <v>41</v>
      </c>
      <c r="J680">
        <v>414121</v>
      </c>
      <c r="K680">
        <v>615833</v>
      </c>
      <c r="L680">
        <v>220154</v>
      </c>
      <c r="M680">
        <v>665</v>
      </c>
      <c r="N680">
        <v>1820</v>
      </c>
      <c r="O680">
        <v>2485</v>
      </c>
    </row>
    <row r="681" spans="1:15" x14ac:dyDescent="0.25">
      <c r="A681" s="1">
        <v>40915</v>
      </c>
      <c r="B681">
        <v>1</v>
      </c>
      <c r="C681">
        <v>1</v>
      </c>
      <c r="D681">
        <v>1</v>
      </c>
      <c r="E681">
        <v>0</v>
      </c>
      <c r="F681">
        <v>6</v>
      </c>
      <c r="G681">
        <v>0</v>
      </c>
      <c r="H681">
        <v>1</v>
      </c>
      <c r="I681">
        <v>393333</v>
      </c>
      <c r="J681">
        <v>390779</v>
      </c>
      <c r="K681">
        <v>531667</v>
      </c>
      <c r="L681">
        <v>174758</v>
      </c>
      <c r="M681">
        <v>1070</v>
      </c>
      <c r="N681">
        <v>3451</v>
      </c>
      <c r="O681">
        <v>4521</v>
      </c>
    </row>
    <row r="682" spans="1:15" x14ac:dyDescent="0.25">
      <c r="A682" s="1">
        <v>40922</v>
      </c>
      <c r="B682">
        <v>1</v>
      </c>
      <c r="C682">
        <v>1</v>
      </c>
      <c r="D682">
        <v>1</v>
      </c>
      <c r="E682">
        <v>0</v>
      </c>
      <c r="F682">
        <v>6</v>
      </c>
      <c r="G682">
        <v>0</v>
      </c>
      <c r="H682">
        <v>1</v>
      </c>
      <c r="I682">
        <v>18</v>
      </c>
      <c r="J682">
        <v>183087</v>
      </c>
      <c r="K682">
        <v>4575</v>
      </c>
      <c r="L682">
        <v>187183</v>
      </c>
      <c r="M682">
        <v>333</v>
      </c>
      <c r="N682">
        <v>2160</v>
      </c>
      <c r="O682">
        <v>2493</v>
      </c>
    </row>
    <row r="683" spans="1:15" x14ac:dyDescent="0.25">
      <c r="A683" s="1">
        <v>40929</v>
      </c>
      <c r="B683">
        <v>1</v>
      </c>
      <c r="C683">
        <v>1</v>
      </c>
      <c r="D683">
        <v>1</v>
      </c>
      <c r="E683">
        <v>0</v>
      </c>
      <c r="F683">
        <v>6</v>
      </c>
      <c r="G683">
        <v>0</v>
      </c>
      <c r="H683">
        <v>2</v>
      </c>
      <c r="I683">
        <v>173333</v>
      </c>
      <c r="J683">
        <v>174875</v>
      </c>
      <c r="K683">
        <v>83125</v>
      </c>
      <c r="L683">
        <v>222642</v>
      </c>
      <c r="M683">
        <v>67</v>
      </c>
      <c r="N683">
        <v>1234</v>
      </c>
      <c r="O683">
        <v>1301</v>
      </c>
    </row>
    <row r="684" spans="1:15" x14ac:dyDescent="0.25">
      <c r="A684" s="1">
        <v>40936</v>
      </c>
      <c r="B684">
        <v>1</v>
      </c>
      <c r="C684">
        <v>1</v>
      </c>
      <c r="D684">
        <v>1</v>
      </c>
      <c r="E684">
        <v>0</v>
      </c>
      <c r="F684">
        <v>6</v>
      </c>
      <c r="G684">
        <v>0</v>
      </c>
      <c r="H684">
        <v>1</v>
      </c>
      <c r="I684">
        <v>315833</v>
      </c>
      <c r="J684">
        <v>326379</v>
      </c>
      <c r="K684">
        <v>543333</v>
      </c>
      <c r="L684">
        <v>210829</v>
      </c>
      <c r="M684">
        <v>775</v>
      </c>
      <c r="N684">
        <v>3248</v>
      </c>
      <c r="O684">
        <v>4023</v>
      </c>
    </row>
    <row r="685" spans="1:15" x14ac:dyDescent="0.25">
      <c r="A685" s="1">
        <v>40943</v>
      </c>
      <c r="B685">
        <v>1</v>
      </c>
      <c r="C685">
        <v>1</v>
      </c>
      <c r="D685">
        <v>2</v>
      </c>
      <c r="E685">
        <v>0</v>
      </c>
      <c r="F685">
        <v>6</v>
      </c>
      <c r="G685">
        <v>0</v>
      </c>
      <c r="H685">
        <v>2</v>
      </c>
      <c r="I685">
        <v>264167</v>
      </c>
      <c r="J685">
        <v>272725</v>
      </c>
      <c r="K685">
        <v>779583</v>
      </c>
      <c r="L685">
        <v>121896</v>
      </c>
      <c r="M685">
        <v>384</v>
      </c>
      <c r="N685">
        <v>2448</v>
      </c>
      <c r="O685">
        <v>2832</v>
      </c>
    </row>
    <row r="686" spans="1:15" x14ac:dyDescent="0.25">
      <c r="A686" s="1">
        <v>40950</v>
      </c>
      <c r="B686">
        <v>1</v>
      </c>
      <c r="C686">
        <v>1</v>
      </c>
      <c r="D686">
        <v>2</v>
      </c>
      <c r="E686">
        <v>0</v>
      </c>
      <c r="F686">
        <v>6</v>
      </c>
      <c r="G686">
        <v>0</v>
      </c>
      <c r="H686">
        <v>3</v>
      </c>
      <c r="I686">
        <v>224167</v>
      </c>
      <c r="J686">
        <v>210867</v>
      </c>
      <c r="K686">
        <v>73125</v>
      </c>
      <c r="L686">
        <v>289796</v>
      </c>
      <c r="M686">
        <v>192</v>
      </c>
      <c r="N686">
        <v>1977</v>
      </c>
      <c r="O686">
        <v>2169</v>
      </c>
    </row>
    <row r="687" spans="1:15" x14ac:dyDescent="0.25">
      <c r="A687" s="1">
        <v>40957</v>
      </c>
      <c r="B687">
        <v>1</v>
      </c>
      <c r="C687">
        <v>1</v>
      </c>
      <c r="D687">
        <v>2</v>
      </c>
      <c r="E687">
        <v>0</v>
      </c>
      <c r="F687">
        <v>6</v>
      </c>
      <c r="G687">
        <v>0</v>
      </c>
      <c r="H687">
        <v>1</v>
      </c>
      <c r="I687">
        <v>346667</v>
      </c>
      <c r="J687">
        <v>355425</v>
      </c>
      <c r="K687">
        <v>534583</v>
      </c>
      <c r="L687">
        <v>190929</v>
      </c>
      <c r="M687">
        <v>1435</v>
      </c>
      <c r="N687">
        <v>2883</v>
      </c>
      <c r="O687">
        <v>4318</v>
      </c>
    </row>
    <row r="688" spans="1:15" x14ac:dyDescent="0.25">
      <c r="A688" s="1">
        <v>40964</v>
      </c>
      <c r="B688">
        <v>1</v>
      </c>
      <c r="C688">
        <v>1</v>
      </c>
      <c r="D688">
        <v>2</v>
      </c>
      <c r="E688">
        <v>0</v>
      </c>
      <c r="F688">
        <v>6</v>
      </c>
      <c r="G688">
        <v>0</v>
      </c>
      <c r="H688">
        <v>1</v>
      </c>
      <c r="I688">
        <v>290833</v>
      </c>
      <c r="J688">
        <v>255675</v>
      </c>
      <c r="K688">
        <v>395833</v>
      </c>
      <c r="L688">
        <v>421642</v>
      </c>
      <c r="M688">
        <v>317</v>
      </c>
      <c r="N688">
        <v>2415</v>
      </c>
      <c r="O688">
        <v>2732</v>
      </c>
    </row>
    <row r="689" spans="1:15" x14ac:dyDescent="0.25">
      <c r="A689" s="1">
        <v>40971</v>
      </c>
      <c r="B689">
        <v>1</v>
      </c>
      <c r="C689">
        <v>1</v>
      </c>
      <c r="D689">
        <v>3</v>
      </c>
      <c r="E689">
        <v>0</v>
      </c>
      <c r="F689">
        <v>6</v>
      </c>
      <c r="G689">
        <v>0</v>
      </c>
      <c r="H689">
        <v>2</v>
      </c>
      <c r="I689">
        <v>414167</v>
      </c>
      <c r="J689">
        <v>413492</v>
      </c>
      <c r="K689">
        <v>62125</v>
      </c>
      <c r="L689">
        <v>161079</v>
      </c>
      <c r="M689">
        <v>956</v>
      </c>
      <c r="N689">
        <v>3110</v>
      </c>
      <c r="O689">
        <v>4066</v>
      </c>
    </row>
    <row r="690" spans="1:15" x14ac:dyDescent="0.25">
      <c r="A690" s="1">
        <v>40978</v>
      </c>
      <c r="B690">
        <v>1</v>
      </c>
      <c r="C690">
        <v>1</v>
      </c>
      <c r="D690">
        <v>3</v>
      </c>
      <c r="E690">
        <v>0</v>
      </c>
      <c r="F690">
        <v>6</v>
      </c>
      <c r="G690">
        <v>0</v>
      </c>
      <c r="H690">
        <v>1</v>
      </c>
      <c r="I690">
        <v>2875</v>
      </c>
      <c r="J690">
        <v>277767</v>
      </c>
      <c r="K690">
        <v>350417</v>
      </c>
      <c r="L690">
        <v>22575</v>
      </c>
      <c r="M690">
        <v>968</v>
      </c>
      <c r="N690">
        <v>3150</v>
      </c>
      <c r="O690">
        <v>4118</v>
      </c>
    </row>
    <row r="691" spans="1:15" x14ac:dyDescent="0.25">
      <c r="A691" s="1">
        <v>40985</v>
      </c>
      <c r="B691">
        <v>1</v>
      </c>
      <c r="C691">
        <v>1</v>
      </c>
      <c r="D691">
        <v>3</v>
      </c>
      <c r="E691">
        <v>0</v>
      </c>
      <c r="F691">
        <v>6</v>
      </c>
      <c r="G691">
        <v>0</v>
      </c>
      <c r="H691">
        <v>2</v>
      </c>
      <c r="I691">
        <v>514167</v>
      </c>
      <c r="J691">
        <v>505046</v>
      </c>
      <c r="K691">
        <v>755833</v>
      </c>
      <c r="L691">
        <v>110704</v>
      </c>
      <c r="M691">
        <v>3155</v>
      </c>
      <c r="N691">
        <v>4681</v>
      </c>
      <c r="O691">
        <v>7836</v>
      </c>
    </row>
    <row r="692" spans="1:15" x14ac:dyDescent="0.25">
      <c r="A692" s="1">
        <v>40992</v>
      </c>
      <c r="B692">
        <v>2</v>
      </c>
      <c r="C692">
        <v>1</v>
      </c>
      <c r="D692">
        <v>3</v>
      </c>
      <c r="E692">
        <v>0</v>
      </c>
      <c r="F692">
        <v>6</v>
      </c>
      <c r="G692">
        <v>0</v>
      </c>
      <c r="H692">
        <v>2</v>
      </c>
      <c r="I692">
        <v>5025</v>
      </c>
      <c r="J692">
        <v>486733</v>
      </c>
      <c r="K692">
        <v>885417</v>
      </c>
      <c r="L692">
        <v>192783</v>
      </c>
      <c r="M692">
        <v>1033</v>
      </c>
      <c r="N692">
        <v>2339</v>
      </c>
      <c r="O692">
        <v>3372</v>
      </c>
    </row>
    <row r="693" spans="1:15" x14ac:dyDescent="0.25">
      <c r="A693" s="1">
        <v>40999</v>
      </c>
      <c r="B693">
        <v>2</v>
      </c>
      <c r="C693">
        <v>1</v>
      </c>
      <c r="D693">
        <v>3</v>
      </c>
      <c r="E693">
        <v>0</v>
      </c>
      <c r="F693">
        <v>6</v>
      </c>
      <c r="G693">
        <v>0</v>
      </c>
      <c r="H693">
        <v>2</v>
      </c>
      <c r="I693">
        <v>424167</v>
      </c>
      <c r="J693">
        <v>421708</v>
      </c>
      <c r="K693">
        <v>738333</v>
      </c>
      <c r="L693">
        <v>250617</v>
      </c>
      <c r="M693">
        <v>2301</v>
      </c>
      <c r="N693">
        <v>3934</v>
      </c>
      <c r="O693">
        <v>6235</v>
      </c>
    </row>
    <row r="694" spans="1:15" x14ac:dyDescent="0.25">
      <c r="A694" s="1">
        <v>41006</v>
      </c>
      <c r="B694">
        <v>2</v>
      </c>
      <c r="C694">
        <v>1</v>
      </c>
      <c r="D694">
        <v>4</v>
      </c>
      <c r="E694">
        <v>0</v>
      </c>
      <c r="F694">
        <v>6</v>
      </c>
      <c r="G694">
        <v>0</v>
      </c>
      <c r="H694">
        <v>1</v>
      </c>
      <c r="I694">
        <v>4375</v>
      </c>
      <c r="J694">
        <v>426129</v>
      </c>
      <c r="K694">
        <v>254167</v>
      </c>
      <c r="L694">
        <v>274871</v>
      </c>
      <c r="M694">
        <v>3252</v>
      </c>
      <c r="N694">
        <v>3605</v>
      </c>
      <c r="O694">
        <v>6857</v>
      </c>
    </row>
    <row r="695" spans="1:15" x14ac:dyDescent="0.25">
      <c r="A695" s="1">
        <v>41013</v>
      </c>
      <c r="B695">
        <v>2</v>
      </c>
      <c r="C695">
        <v>1</v>
      </c>
      <c r="D695">
        <v>4</v>
      </c>
      <c r="E695">
        <v>0</v>
      </c>
      <c r="F695">
        <v>6</v>
      </c>
      <c r="G695">
        <v>0</v>
      </c>
      <c r="H695">
        <v>1</v>
      </c>
      <c r="I695">
        <v>495</v>
      </c>
      <c r="J695">
        <v>487996</v>
      </c>
      <c r="K695">
        <v>502917</v>
      </c>
      <c r="L695">
        <v>190917</v>
      </c>
      <c r="M695">
        <v>2795</v>
      </c>
      <c r="N695">
        <v>4665</v>
      </c>
      <c r="O695">
        <v>7460</v>
      </c>
    </row>
    <row r="696" spans="1:15" x14ac:dyDescent="0.25">
      <c r="A696" s="1">
        <v>41020</v>
      </c>
      <c r="B696">
        <v>2</v>
      </c>
      <c r="C696">
        <v>1</v>
      </c>
      <c r="D696">
        <v>4</v>
      </c>
      <c r="E696">
        <v>0</v>
      </c>
      <c r="F696">
        <v>6</v>
      </c>
      <c r="G696">
        <v>0</v>
      </c>
      <c r="H696">
        <v>1</v>
      </c>
      <c r="I696">
        <v>57</v>
      </c>
      <c r="J696">
        <v>542921</v>
      </c>
      <c r="K696">
        <v>682917</v>
      </c>
      <c r="L696">
        <v>283587</v>
      </c>
      <c r="M696">
        <v>2541</v>
      </c>
      <c r="N696">
        <v>4083</v>
      </c>
      <c r="O696">
        <v>6624</v>
      </c>
    </row>
    <row r="697" spans="1:15" x14ac:dyDescent="0.25">
      <c r="A697" s="1">
        <v>41027</v>
      </c>
      <c r="B697">
        <v>2</v>
      </c>
      <c r="C697">
        <v>1</v>
      </c>
      <c r="D697">
        <v>4</v>
      </c>
      <c r="E697">
        <v>0</v>
      </c>
      <c r="F697">
        <v>6</v>
      </c>
      <c r="G697">
        <v>0</v>
      </c>
      <c r="H697">
        <v>2</v>
      </c>
      <c r="I697">
        <v>376667</v>
      </c>
      <c r="J697">
        <v>377504</v>
      </c>
      <c r="K697">
        <v>489583</v>
      </c>
      <c r="L697">
        <v>129975</v>
      </c>
      <c r="M697">
        <v>1120</v>
      </c>
      <c r="N697">
        <v>3100</v>
      </c>
      <c r="O697">
        <v>4220</v>
      </c>
    </row>
    <row r="698" spans="1:15" x14ac:dyDescent="0.25">
      <c r="A698" s="1">
        <v>41034</v>
      </c>
      <c r="B698">
        <v>2</v>
      </c>
      <c r="C698">
        <v>1</v>
      </c>
      <c r="D698">
        <v>5</v>
      </c>
      <c r="E698">
        <v>0</v>
      </c>
      <c r="F698">
        <v>6</v>
      </c>
      <c r="G698">
        <v>0</v>
      </c>
      <c r="H698">
        <v>2</v>
      </c>
      <c r="I698">
        <v>621667</v>
      </c>
      <c r="J698">
        <v>584608</v>
      </c>
      <c r="K698">
        <v>756667</v>
      </c>
      <c r="L698">
        <v>152992</v>
      </c>
      <c r="M698">
        <v>2496</v>
      </c>
      <c r="N698">
        <v>4387</v>
      </c>
      <c r="O698">
        <v>6883</v>
      </c>
    </row>
    <row r="699" spans="1:15" x14ac:dyDescent="0.25">
      <c r="A699" s="1">
        <v>41041</v>
      </c>
      <c r="B699">
        <v>2</v>
      </c>
      <c r="C699">
        <v>1</v>
      </c>
      <c r="D699">
        <v>5</v>
      </c>
      <c r="E699">
        <v>0</v>
      </c>
      <c r="F699">
        <v>6</v>
      </c>
      <c r="G699">
        <v>0</v>
      </c>
      <c r="H699">
        <v>1</v>
      </c>
      <c r="I699">
        <v>564167</v>
      </c>
      <c r="J699">
        <v>544817</v>
      </c>
      <c r="K699">
        <v>480417</v>
      </c>
      <c r="L699">
        <v>123133</v>
      </c>
      <c r="M699">
        <v>2622</v>
      </c>
      <c r="N699">
        <v>4807</v>
      </c>
      <c r="O699">
        <v>7429</v>
      </c>
    </row>
    <row r="700" spans="1:15" x14ac:dyDescent="0.25">
      <c r="A700" s="1">
        <v>41048</v>
      </c>
      <c r="B700">
        <v>2</v>
      </c>
      <c r="C700">
        <v>1</v>
      </c>
      <c r="D700">
        <v>5</v>
      </c>
      <c r="E700">
        <v>0</v>
      </c>
      <c r="F700">
        <v>6</v>
      </c>
      <c r="G700">
        <v>0</v>
      </c>
      <c r="H700">
        <v>1</v>
      </c>
      <c r="I700">
        <v>6</v>
      </c>
      <c r="J700">
        <v>566908</v>
      </c>
      <c r="K700">
        <v>45625</v>
      </c>
      <c r="L700">
        <v>83975</v>
      </c>
      <c r="M700">
        <v>3410</v>
      </c>
      <c r="N700">
        <v>4884</v>
      </c>
      <c r="O700">
        <v>8294</v>
      </c>
    </row>
    <row r="701" spans="1:15" x14ac:dyDescent="0.25">
      <c r="A701" s="1">
        <v>41055</v>
      </c>
      <c r="B701">
        <v>2</v>
      </c>
      <c r="C701">
        <v>1</v>
      </c>
      <c r="D701">
        <v>5</v>
      </c>
      <c r="E701">
        <v>0</v>
      </c>
      <c r="F701">
        <v>6</v>
      </c>
      <c r="G701">
        <v>0</v>
      </c>
      <c r="H701">
        <v>1</v>
      </c>
      <c r="I701">
        <v>6925</v>
      </c>
      <c r="J701">
        <v>642696</v>
      </c>
      <c r="K701">
        <v>7325</v>
      </c>
      <c r="L701">
        <v>198992</v>
      </c>
      <c r="M701">
        <v>2855</v>
      </c>
      <c r="N701">
        <v>3681</v>
      </c>
      <c r="O701">
        <v>6536</v>
      </c>
    </row>
    <row r="702" spans="1:15" x14ac:dyDescent="0.25">
      <c r="A702" s="1">
        <v>41062</v>
      </c>
      <c r="B702">
        <v>2</v>
      </c>
      <c r="C702">
        <v>1</v>
      </c>
      <c r="D702">
        <v>6</v>
      </c>
      <c r="E702">
        <v>0</v>
      </c>
      <c r="F702">
        <v>6</v>
      </c>
      <c r="G702">
        <v>0</v>
      </c>
      <c r="H702">
        <v>1</v>
      </c>
      <c r="I702">
        <v>583333</v>
      </c>
      <c r="J702">
        <v>566288</v>
      </c>
      <c r="K702">
        <v>549167</v>
      </c>
      <c r="L702">
        <v>186562</v>
      </c>
      <c r="M702">
        <v>2795</v>
      </c>
      <c r="N702">
        <v>5325</v>
      </c>
      <c r="O702">
        <v>8120</v>
      </c>
    </row>
    <row r="703" spans="1:15" x14ac:dyDescent="0.25">
      <c r="A703" s="1">
        <v>41069</v>
      </c>
      <c r="B703">
        <v>2</v>
      </c>
      <c r="C703">
        <v>1</v>
      </c>
      <c r="D703">
        <v>6</v>
      </c>
      <c r="E703">
        <v>0</v>
      </c>
      <c r="F703">
        <v>6</v>
      </c>
      <c r="G703">
        <v>0</v>
      </c>
      <c r="H703">
        <v>1</v>
      </c>
      <c r="I703">
        <v>710833</v>
      </c>
      <c r="J703">
        <v>648367</v>
      </c>
      <c r="K703">
        <v>437083</v>
      </c>
      <c r="L703">
        <v>144287</v>
      </c>
      <c r="M703">
        <v>2708</v>
      </c>
      <c r="N703">
        <v>4790</v>
      </c>
      <c r="O703">
        <v>7498</v>
      </c>
    </row>
    <row r="704" spans="1:15" x14ac:dyDescent="0.25">
      <c r="A704" s="1">
        <v>41076</v>
      </c>
      <c r="B704">
        <v>2</v>
      </c>
      <c r="C704">
        <v>1</v>
      </c>
      <c r="D704">
        <v>6</v>
      </c>
      <c r="E704">
        <v>0</v>
      </c>
      <c r="F704">
        <v>6</v>
      </c>
      <c r="G704">
        <v>0</v>
      </c>
      <c r="H704">
        <v>1</v>
      </c>
      <c r="I704">
        <v>631667</v>
      </c>
      <c r="J704">
        <v>594708</v>
      </c>
      <c r="K704">
        <v>504167</v>
      </c>
      <c r="L704">
        <v>166667</v>
      </c>
      <c r="M704">
        <v>2963</v>
      </c>
      <c r="N704">
        <v>4739</v>
      </c>
      <c r="O704">
        <v>7702</v>
      </c>
    </row>
    <row r="705" spans="1:15" x14ac:dyDescent="0.25">
      <c r="A705" s="1">
        <v>41083</v>
      </c>
      <c r="B705">
        <v>3</v>
      </c>
      <c r="C705">
        <v>1</v>
      </c>
      <c r="D705">
        <v>6</v>
      </c>
      <c r="E705">
        <v>0</v>
      </c>
      <c r="F705">
        <v>6</v>
      </c>
      <c r="G705">
        <v>0</v>
      </c>
      <c r="H705">
        <v>1</v>
      </c>
      <c r="I705">
        <v>731667</v>
      </c>
      <c r="J705">
        <v>652792</v>
      </c>
      <c r="K705">
        <v>534583</v>
      </c>
      <c r="L705">
        <v>179721</v>
      </c>
      <c r="M705">
        <v>2657</v>
      </c>
      <c r="N705">
        <v>4801</v>
      </c>
      <c r="O705">
        <v>7458</v>
      </c>
    </row>
    <row r="706" spans="1:15" x14ac:dyDescent="0.25">
      <c r="A706" s="1">
        <v>41090</v>
      </c>
      <c r="B706">
        <v>3</v>
      </c>
      <c r="C706">
        <v>1</v>
      </c>
      <c r="D706">
        <v>6</v>
      </c>
      <c r="E706">
        <v>0</v>
      </c>
      <c r="F706">
        <v>6</v>
      </c>
      <c r="G706">
        <v>0</v>
      </c>
      <c r="H706">
        <v>1</v>
      </c>
      <c r="I706">
        <v>765</v>
      </c>
      <c r="J706">
        <v>687508</v>
      </c>
      <c r="K706">
        <v>60125</v>
      </c>
      <c r="L706">
        <v>161071</v>
      </c>
      <c r="M706">
        <v>1455</v>
      </c>
      <c r="N706">
        <v>4232</v>
      </c>
      <c r="O706">
        <v>5687</v>
      </c>
    </row>
    <row r="707" spans="1:15" x14ac:dyDescent="0.25">
      <c r="A707" s="1">
        <v>41097</v>
      </c>
      <c r="B707">
        <v>3</v>
      </c>
      <c r="C707">
        <v>1</v>
      </c>
      <c r="D707">
        <v>7</v>
      </c>
      <c r="E707">
        <v>0</v>
      </c>
      <c r="F707">
        <v>6</v>
      </c>
      <c r="G707">
        <v>0</v>
      </c>
      <c r="H707">
        <v>1</v>
      </c>
      <c r="I707">
        <v>861667</v>
      </c>
      <c r="J707">
        <v>804913</v>
      </c>
      <c r="K707">
        <v>492083</v>
      </c>
      <c r="L707">
        <v>163554</v>
      </c>
      <c r="M707">
        <v>1448</v>
      </c>
      <c r="N707">
        <v>3392</v>
      </c>
      <c r="O707">
        <v>4840</v>
      </c>
    </row>
    <row r="708" spans="1:15" x14ac:dyDescent="0.25">
      <c r="A708" s="1">
        <v>41104</v>
      </c>
      <c r="B708">
        <v>3</v>
      </c>
      <c r="C708">
        <v>1</v>
      </c>
      <c r="D708">
        <v>7</v>
      </c>
      <c r="E708">
        <v>0</v>
      </c>
      <c r="F708">
        <v>6</v>
      </c>
      <c r="G708">
        <v>0</v>
      </c>
      <c r="H708">
        <v>2</v>
      </c>
      <c r="I708">
        <v>703333</v>
      </c>
      <c r="J708">
        <v>666042</v>
      </c>
      <c r="K708">
        <v>699167</v>
      </c>
      <c r="L708">
        <v>143679</v>
      </c>
      <c r="M708">
        <v>2355</v>
      </c>
      <c r="N708">
        <v>4614</v>
      </c>
      <c r="O708">
        <v>6969</v>
      </c>
    </row>
    <row r="709" spans="1:15" x14ac:dyDescent="0.25">
      <c r="A709" s="1">
        <v>41111</v>
      </c>
      <c r="B709">
        <v>3</v>
      </c>
      <c r="C709">
        <v>1</v>
      </c>
      <c r="D709">
        <v>7</v>
      </c>
      <c r="E709">
        <v>0</v>
      </c>
      <c r="F709">
        <v>6</v>
      </c>
      <c r="G709">
        <v>0</v>
      </c>
      <c r="H709">
        <v>3</v>
      </c>
      <c r="I709">
        <v>595833</v>
      </c>
      <c r="J709">
        <v>549912</v>
      </c>
      <c r="K709">
        <v>865417</v>
      </c>
      <c r="L709">
        <v>2133</v>
      </c>
      <c r="M709">
        <v>1264</v>
      </c>
      <c r="N709">
        <v>3195</v>
      </c>
      <c r="O709">
        <v>4459</v>
      </c>
    </row>
    <row r="710" spans="1:15" x14ac:dyDescent="0.25">
      <c r="A710" s="1">
        <v>41118</v>
      </c>
      <c r="B710">
        <v>3</v>
      </c>
      <c r="C710">
        <v>1</v>
      </c>
      <c r="D710">
        <v>7</v>
      </c>
      <c r="E710">
        <v>0</v>
      </c>
      <c r="F710">
        <v>6</v>
      </c>
      <c r="G710">
        <v>0</v>
      </c>
      <c r="H710">
        <v>1</v>
      </c>
      <c r="I710">
        <v>755833</v>
      </c>
      <c r="J710">
        <v>697604</v>
      </c>
      <c r="K710">
        <v>613333</v>
      </c>
      <c r="L710">
        <v>15735</v>
      </c>
      <c r="M710">
        <v>2234</v>
      </c>
      <c r="N710">
        <v>4451</v>
      </c>
      <c r="O710">
        <v>6685</v>
      </c>
    </row>
    <row r="711" spans="1:15" x14ac:dyDescent="0.25">
      <c r="A711" s="1">
        <v>41125</v>
      </c>
      <c r="B711">
        <v>3</v>
      </c>
      <c r="C711">
        <v>1</v>
      </c>
      <c r="D711">
        <v>8</v>
      </c>
      <c r="E711">
        <v>0</v>
      </c>
      <c r="F711">
        <v>6</v>
      </c>
      <c r="G711">
        <v>0</v>
      </c>
      <c r="H711">
        <v>1</v>
      </c>
      <c r="I711">
        <v>793333</v>
      </c>
      <c r="J711">
        <v>751267</v>
      </c>
      <c r="K711">
        <v>613333</v>
      </c>
      <c r="L711">
        <v>257458</v>
      </c>
      <c r="M711">
        <v>2345</v>
      </c>
      <c r="N711">
        <v>4479</v>
      </c>
      <c r="O711">
        <v>6824</v>
      </c>
    </row>
    <row r="712" spans="1:15" x14ac:dyDescent="0.25">
      <c r="A712" s="1">
        <v>41132</v>
      </c>
      <c r="B712">
        <v>3</v>
      </c>
      <c r="C712">
        <v>1</v>
      </c>
      <c r="D712">
        <v>8</v>
      </c>
      <c r="E712">
        <v>0</v>
      </c>
      <c r="F712">
        <v>6</v>
      </c>
      <c r="G712">
        <v>0</v>
      </c>
      <c r="H712">
        <v>2</v>
      </c>
      <c r="I712">
        <v>6925</v>
      </c>
      <c r="J712">
        <v>638267</v>
      </c>
      <c r="K712">
        <v>732917</v>
      </c>
      <c r="L712">
        <v>206479</v>
      </c>
      <c r="M712">
        <v>2247</v>
      </c>
      <c r="N712">
        <v>4052</v>
      </c>
      <c r="O712">
        <v>6299</v>
      </c>
    </row>
    <row r="713" spans="1:15" x14ac:dyDescent="0.25">
      <c r="A713" s="1">
        <v>41139</v>
      </c>
      <c r="B713">
        <v>3</v>
      </c>
      <c r="C713">
        <v>1</v>
      </c>
      <c r="D713">
        <v>8</v>
      </c>
      <c r="E713">
        <v>0</v>
      </c>
      <c r="F713">
        <v>6</v>
      </c>
      <c r="G713">
        <v>0</v>
      </c>
      <c r="H713">
        <v>1</v>
      </c>
      <c r="I713">
        <v>678333</v>
      </c>
      <c r="J713">
        <v>618071</v>
      </c>
      <c r="K713">
        <v>603333</v>
      </c>
      <c r="L713">
        <v>177867</v>
      </c>
      <c r="M713">
        <v>2827</v>
      </c>
      <c r="N713">
        <v>5038</v>
      </c>
      <c r="O713">
        <v>7865</v>
      </c>
    </row>
    <row r="714" spans="1:15" x14ac:dyDescent="0.25">
      <c r="A714" s="1">
        <v>41146</v>
      </c>
      <c r="B714">
        <v>3</v>
      </c>
      <c r="C714">
        <v>1</v>
      </c>
      <c r="D714">
        <v>8</v>
      </c>
      <c r="E714">
        <v>0</v>
      </c>
      <c r="F714">
        <v>6</v>
      </c>
      <c r="G714">
        <v>0</v>
      </c>
      <c r="H714">
        <v>2</v>
      </c>
      <c r="I714">
        <v>661667</v>
      </c>
      <c r="J714">
        <v>618696</v>
      </c>
      <c r="K714">
        <v>712917</v>
      </c>
      <c r="L714">
        <v>244408</v>
      </c>
      <c r="M714">
        <v>1829</v>
      </c>
      <c r="N714">
        <v>4224</v>
      </c>
      <c r="O714">
        <v>6053</v>
      </c>
    </row>
    <row r="715" spans="1:15" x14ac:dyDescent="0.25">
      <c r="A715" s="1">
        <v>41153</v>
      </c>
      <c r="B715">
        <v>3</v>
      </c>
      <c r="C715">
        <v>1</v>
      </c>
      <c r="D715">
        <v>9</v>
      </c>
      <c r="E715">
        <v>0</v>
      </c>
      <c r="F715">
        <v>6</v>
      </c>
      <c r="G715">
        <v>0</v>
      </c>
      <c r="H715">
        <v>2</v>
      </c>
      <c r="I715">
        <v>753333</v>
      </c>
      <c r="J715">
        <v>702654</v>
      </c>
      <c r="K715">
        <v>638333</v>
      </c>
      <c r="L715">
        <v>113187</v>
      </c>
      <c r="M715">
        <v>2352</v>
      </c>
      <c r="N715">
        <v>3788</v>
      </c>
      <c r="O715">
        <v>6140</v>
      </c>
    </row>
    <row r="716" spans="1:15" x14ac:dyDescent="0.25">
      <c r="A716" s="1">
        <v>41160</v>
      </c>
      <c r="B716">
        <v>3</v>
      </c>
      <c r="C716">
        <v>1</v>
      </c>
      <c r="D716">
        <v>9</v>
      </c>
      <c r="E716">
        <v>0</v>
      </c>
      <c r="F716">
        <v>6</v>
      </c>
      <c r="G716">
        <v>0</v>
      </c>
      <c r="H716">
        <v>2</v>
      </c>
      <c r="I716">
        <v>659167</v>
      </c>
      <c r="J716">
        <v>611121</v>
      </c>
      <c r="K716">
        <v>799167</v>
      </c>
      <c r="L716">
        <v>281104</v>
      </c>
      <c r="M716">
        <v>1557</v>
      </c>
      <c r="N716">
        <v>4419</v>
      </c>
      <c r="O716">
        <v>5976</v>
      </c>
    </row>
    <row r="717" spans="1:15" x14ac:dyDescent="0.25">
      <c r="A717" s="1">
        <v>41167</v>
      </c>
      <c r="B717">
        <v>3</v>
      </c>
      <c r="C717">
        <v>1</v>
      </c>
      <c r="D717">
        <v>9</v>
      </c>
      <c r="E717">
        <v>0</v>
      </c>
      <c r="F717">
        <v>6</v>
      </c>
      <c r="G717">
        <v>0</v>
      </c>
      <c r="H717">
        <v>1</v>
      </c>
      <c r="I717">
        <v>608333</v>
      </c>
      <c r="J717">
        <v>585867</v>
      </c>
      <c r="K717">
        <v>501667</v>
      </c>
      <c r="L717">
        <v>247521</v>
      </c>
      <c r="M717">
        <v>3160</v>
      </c>
      <c r="N717">
        <v>5554</v>
      </c>
      <c r="O717">
        <v>8714</v>
      </c>
    </row>
    <row r="718" spans="1:15" x14ac:dyDescent="0.25">
      <c r="A718" s="1">
        <v>41174</v>
      </c>
      <c r="B718">
        <v>3</v>
      </c>
      <c r="C718">
        <v>1</v>
      </c>
      <c r="D718">
        <v>9</v>
      </c>
      <c r="E718">
        <v>0</v>
      </c>
      <c r="F718">
        <v>6</v>
      </c>
      <c r="G718">
        <v>0</v>
      </c>
      <c r="H718">
        <v>1</v>
      </c>
      <c r="I718">
        <v>65</v>
      </c>
      <c r="J718">
        <v>610488</v>
      </c>
      <c r="K718">
        <v>646667</v>
      </c>
      <c r="L718">
        <v>283583</v>
      </c>
      <c r="M718">
        <v>2512</v>
      </c>
      <c r="N718">
        <v>5883</v>
      </c>
      <c r="O718">
        <v>8395</v>
      </c>
    </row>
    <row r="719" spans="1:15" x14ac:dyDescent="0.25">
      <c r="A719" s="1">
        <v>41181</v>
      </c>
      <c r="B719">
        <v>4</v>
      </c>
      <c r="C719">
        <v>1</v>
      </c>
      <c r="D719">
        <v>9</v>
      </c>
      <c r="E719">
        <v>0</v>
      </c>
      <c r="F719">
        <v>6</v>
      </c>
      <c r="G719">
        <v>0</v>
      </c>
      <c r="H719">
        <v>1</v>
      </c>
      <c r="I719">
        <v>5425</v>
      </c>
      <c r="J719">
        <v>530296</v>
      </c>
      <c r="K719">
        <v>542917</v>
      </c>
      <c r="L719">
        <v>227604</v>
      </c>
      <c r="M719">
        <v>2589</v>
      </c>
      <c r="N719">
        <v>5966</v>
      </c>
      <c r="O719">
        <v>8555</v>
      </c>
    </row>
    <row r="720" spans="1:15" x14ac:dyDescent="0.25">
      <c r="A720" s="1">
        <v>41188</v>
      </c>
      <c r="B720">
        <v>4</v>
      </c>
      <c r="C720">
        <v>1</v>
      </c>
      <c r="D720">
        <v>10</v>
      </c>
      <c r="E720">
        <v>0</v>
      </c>
      <c r="F720">
        <v>6</v>
      </c>
      <c r="G720">
        <v>0</v>
      </c>
      <c r="H720">
        <v>1</v>
      </c>
      <c r="I720">
        <v>554167</v>
      </c>
      <c r="J720">
        <v>538521</v>
      </c>
      <c r="K720">
        <v>664167</v>
      </c>
      <c r="L720">
        <v>268025</v>
      </c>
      <c r="M720">
        <v>3031</v>
      </c>
      <c r="N720">
        <v>4934</v>
      </c>
      <c r="O720">
        <v>7965</v>
      </c>
    </row>
    <row r="721" spans="1:15" x14ac:dyDescent="0.25">
      <c r="A721" s="1">
        <v>41195</v>
      </c>
      <c r="B721">
        <v>4</v>
      </c>
      <c r="C721">
        <v>1</v>
      </c>
      <c r="D721">
        <v>10</v>
      </c>
      <c r="E721">
        <v>0</v>
      </c>
      <c r="F721">
        <v>6</v>
      </c>
      <c r="G721">
        <v>0</v>
      </c>
      <c r="H721">
        <v>1</v>
      </c>
      <c r="I721">
        <v>393333</v>
      </c>
      <c r="J721">
        <v>391396</v>
      </c>
      <c r="K721">
        <v>494583</v>
      </c>
      <c r="L721">
        <v>146142</v>
      </c>
      <c r="M721">
        <v>2252</v>
      </c>
      <c r="N721">
        <v>4857</v>
      </c>
      <c r="O721">
        <v>7109</v>
      </c>
    </row>
    <row r="722" spans="1:15" x14ac:dyDescent="0.25">
      <c r="A722" s="1">
        <v>41202</v>
      </c>
      <c r="B722">
        <v>4</v>
      </c>
      <c r="C722">
        <v>1</v>
      </c>
      <c r="D722">
        <v>10</v>
      </c>
      <c r="E722">
        <v>0</v>
      </c>
      <c r="F722">
        <v>6</v>
      </c>
      <c r="G722">
        <v>0</v>
      </c>
      <c r="H722">
        <v>1</v>
      </c>
      <c r="I722">
        <v>484167</v>
      </c>
      <c r="J722">
        <v>472842</v>
      </c>
      <c r="K722">
        <v>572917</v>
      </c>
      <c r="L722">
        <v>117537</v>
      </c>
      <c r="M722">
        <v>2806</v>
      </c>
      <c r="N722">
        <v>5284</v>
      </c>
      <c r="O722">
        <v>8090</v>
      </c>
    </row>
    <row r="723" spans="1:15" x14ac:dyDescent="0.25">
      <c r="A723" s="1">
        <v>41209</v>
      </c>
      <c r="B723">
        <v>4</v>
      </c>
      <c r="C723">
        <v>1</v>
      </c>
      <c r="D723">
        <v>10</v>
      </c>
      <c r="E723">
        <v>0</v>
      </c>
      <c r="F723">
        <v>6</v>
      </c>
      <c r="G723">
        <v>0</v>
      </c>
      <c r="H723">
        <v>2</v>
      </c>
      <c r="I723">
        <v>53</v>
      </c>
      <c r="J723">
        <v>515133</v>
      </c>
      <c r="K723">
        <v>72</v>
      </c>
      <c r="L723">
        <v>235692</v>
      </c>
      <c r="M723">
        <v>2643</v>
      </c>
      <c r="N723">
        <v>5209</v>
      </c>
      <c r="O723">
        <v>7852</v>
      </c>
    </row>
    <row r="724" spans="1:15" x14ac:dyDescent="0.25">
      <c r="A724" s="1">
        <v>41216</v>
      </c>
      <c r="B724">
        <v>4</v>
      </c>
      <c r="C724">
        <v>1</v>
      </c>
      <c r="D724">
        <v>11</v>
      </c>
      <c r="E724">
        <v>0</v>
      </c>
      <c r="F724">
        <v>6</v>
      </c>
      <c r="G724">
        <v>0</v>
      </c>
      <c r="H724">
        <v>2</v>
      </c>
      <c r="I724">
        <v>343333</v>
      </c>
      <c r="J724">
        <v>323846</v>
      </c>
      <c r="K724">
        <v>49125</v>
      </c>
      <c r="L724">
        <v>270529</v>
      </c>
      <c r="M724">
        <v>1029</v>
      </c>
      <c r="N724">
        <v>4109</v>
      </c>
      <c r="O724">
        <v>5138</v>
      </c>
    </row>
    <row r="725" spans="1:15" x14ac:dyDescent="0.25">
      <c r="A725" s="1">
        <v>41223</v>
      </c>
      <c r="B725">
        <v>4</v>
      </c>
      <c r="C725">
        <v>1</v>
      </c>
      <c r="D725">
        <v>11</v>
      </c>
      <c r="E725">
        <v>0</v>
      </c>
      <c r="F725">
        <v>6</v>
      </c>
      <c r="G725">
        <v>0</v>
      </c>
      <c r="H725">
        <v>1</v>
      </c>
      <c r="I725">
        <v>389167</v>
      </c>
      <c r="J725">
        <v>393937</v>
      </c>
      <c r="K725">
        <v>645417</v>
      </c>
      <c r="L725">
        <v>578458</v>
      </c>
      <c r="M725">
        <v>2090</v>
      </c>
      <c r="N725">
        <v>4446</v>
      </c>
      <c r="O725">
        <v>6536</v>
      </c>
    </row>
    <row r="726" spans="1:15" x14ac:dyDescent="0.25">
      <c r="A726" s="1">
        <v>41230</v>
      </c>
      <c r="B726">
        <v>4</v>
      </c>
      <c r="C726">
        <v>1</v>
      </c>
      <c r="D726">
        <v>11</v>
      </c>
      <c r="E726">
        <v>0</v>
      </c>
      <c r="F726">
        <v>6</v>
      </c>
      <c r="G726">
        <v>0</v>
      </c>
      <c r="H726">
        <v>1</v>
      </c>
      <c r="I726">
        <v>325</v>
      </c>
      <c r="J726">
        <v>326383</v>
      </c>
      <c r="K726">
        <v>545417</v>
      </c>
      <c r="L726">
        <v>179729</v>
      </c>
      <c r="M726">
        <v>1313</v>
      </c>
      <c r="N726">
        <v>4316</v>
      </c>
      <c r="O726">
        <v>5629</v>
      </c>
    </row>
    <row r="727" spans="1:15" x14ac:dyDescent="0.25">
      <c r="A727" s="1">
        <v>41237</v>
      </c>
      <c r="B727">
        <v>4</v>
      </c>
      <c r="C727">
        <v>1</v>
      </c>
      <c r="D727">
        <v>11</v>
      </c>
      <c r="E727">
        <v>0</v>
      </c>
      <c r="F727">
        <v>6</v>
      </c>
      <c r="G727">
        <v>0</v>
      </c>
      <c r="H727">
        <v>1</v>
      </c>
      <c r="I727">
        <v>278333</v>
      </c>
      <c r="J727">
        <v>248742</v>
      </c>
      <c r="K727">
        <v>404583</v>
      </c>
      <c r="L727">
        <v>376871</v>
      </c>
      <c r="M727">
        <v>532</v>
      </c>
      <c r="N727">
        <v>1745</v>
      </c>
      <c r="O727">
        <v>2277</v>
      </c>
    </row>
    <row r="728" spans="1:15" x14ac:dyDescent="0.25">
      <c r="A728" s="1">
        <v>41244</v>
      </c>
      <c r="B728">
        <v>4</v>
      </c>
      <c r="C728">
        <v>1</v>
      </c>
      <c r="D728">
        <v>12</v>
      </c>
      <c r="E728">
        <v>0</v>
      </c>
      <c r="F728">
        <v>6</v>
      </c>
      <c r="G728">
        <v>0</v>
      </c>
      <c r="H728">
        <v>2</v>
      </c>
      <c r="I728">
        <v>298333</v>
      </c>
      <c r="J728">
        <v>316904</v>
      </c>
      <c r="K728">
        <v>806667</v>
      </c>
      <c r="L728">
        <v>597042</v>
      </c>
      <c r="M728">
        <v>951</v>
      </c>
      <c r="N728">
        <v>4240</v>
      </c>
      <c r="O728">
        <v>5191</v>
      </c>
    </row>
    <row r="729" spans="1:15" x14ac:dyDescent="0.25">
      <c r="A729" s="1">
        <v>41251</v>
      </c>
      <c r="B729">
        <v>4</v>
      </c>
      <c r="C729">
        <v>1</v>
      </c>
      <c r="D729">
        <v>12</v>
      </c>
      <c r="E729">
        <v>0</v>
      </c>
      <c r="F729">
        <v>6</v>
      </c>
      <c r="G729">
        <v>0</v>
      </c>
      <c r="H729">
        <v>2</v>
      </c>
      <c r="I729">
        <v>381667</v>
      </c>
      <c r="J729">
        <v>389508</v>
      </c>
      <c r="K729">
        <v>91125</v>
      </c>
      <c r="L729">
        <v>101379</v>
      </c>
      <c r="M729">
        <v>1153</v>
      </c>
      <c r="N729">
        <v>4429</v>
      </c>
      <c r="O729">
        <v>5582</v>
      </c>
    </row>
    <row r="730" spans="1:15" x14ac:dyDescent="0.25">
      <c r="A730" s="1">
        <v>41258</v>
      </c>
      <c r="B730">
        <v>4</v>
      </c>
      <c r="C730">
        <v>1</v>
      </c>
      <c r="D730">
        <v>12</v>
      </c>
      <c r="E730">
        <v>0</v>
      </c>
      <c r="F730">
        <v>6</v>
      </c>
      <c r="G730">
        <v>0</v>
      </c>
      <c r="H730">
        <v>1</v>
      </c>
      <c r="I730">
        <v>324167</v>
      </c>
      <c r="J730">
        <v>338383</v>
      </c>
      <c r="K730">
        <v>650417</v>
      </c>
      <c r="L730">
        <v>10635</v>
      </c>
      <c r="M730">
        <v>767</v>
      </c>
      <c r="N730">
        <v>4280</v>
      </c>
      <c r="O730">
        <v>5047</v>
      </c>
    </row>
    <row r="731" spans="1:15" x14ac:dyDescent="0.25">
      <c r="A731" s="1">
        <v>41265</v>
      </c>
      <c r="B731">
        <v>1</v>
      </c>
      <c r="C731">
        <v>1</v>
      </c>
      <c r="D731">
        <v>12</v>
      </c>
      <c r="E731">
        <v>0</v>
      </c>
      <c r="F731">
        <v>6</v>
      </c>
      <c r="G731">
        <v>0</v>
      </c>
      <c r="H731">
        <v>1</v>
      </c>
      <c r="I731">
        <v>265833</v>
      </c>
      <c r="J731">
        <v>236113</v>
      </c>
      <c r="K731">
        <v>44125</v>
      </c>
      <c r="L731">
        <v>407346</v>
      </c>
      <c r="M731">
        <v>205</v>
      </c>
      <c r="N731">
        <v>1544</v>
      </c>
      <c r="O731">
        <v>1749</v>
      </c>
    </row>
    <row r="732" spans="1:15" x14ac:dyDescent="0.25">
      <c r="A732" s="1">
        <v>41272</v>
      </c>
      <c r="B732">
        <v>1</v>
      </c>
      <c r="C732">
        <v>1</v>
      </c>
      <c r="D732">
        <v>12</v>
      </c>
      <c r="E732">
        <v>0</v>
      </c>
      <c r="F732">
        <v>6</v>
      </c>
      <c r="G732">
        <v>0</v>
      </c>
      <c r="H732">
        <v>2</v>
      </c>
      <c r="I732">
        <v>253333</v>
      </c>
      <c r="J732">
        <v>2424</v>
      </c>
      <c r="K732">
        <v>752917</v>
      </c>
      <c r="L732">
        <v>124383</v>
      </c>
      <c r="M732">
        <v>159</v>
      </c>
      <c r="N732">
        <v>1182</v>
      </c>
      <c r="O732">
        <v>1341</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67066-D867-4AB8-8477-E82ECE26A564}">
  <dimension ref="A5:M50"/>
  <sheetViews>
    <sheetView showGridLines="0" tabSelected="1" zoomScale="70" zoomScaleNormal="70" workbookViewId="0">
      <selection activeCell="H4" sqref="H4"/>
    </sheetView>
  </sheetViews>
  <sheetFormatPr defaultRowHeight="15" x14ac:dyDescent="0.25"/>
  <cols>
    <col min="1" max="3" width="9.140625" style="9"/>
    <col min="4" max="4" width="2.28515625" style="9" customWidth="1"/>
    <col min="5" max="5" width="9.140625" style="9"/>
    <col min="6" max="6" width="13.42578125" style="9" customWidth="1"/>
    <col min="7" max="7" width="3.42578125" style="9" customWidth="1"/>
    <col min="8" max="8" width="4.85546875" style="9" customWidth="1"/>
    <col min="9" max="9" width="2" style="9" customWidth="1"/>
    <col min="10" max="10" width="9.140625" style="9" hidden="1" customWidth="1"/>
    <col min="11" max="12" width="9.140625" style="9"/>
    <col min="13" max="13" width="7.140625" style="9" customWidth="1"/>
    <col min="14" max="18" width="9.140625" style="9"/>
    <col min="19" max="19" width="33.85546875" style="9" customWidth="1"/>
    <col min="20" max="16384" width="9.140625" style="9"/>
  </cols>
  <sheetData>
    <row r="5" spans="5:13" ht="15" customHeight="1" x14ac:dyDescent="0.5">
      <c r="E5" s="10">
        <f>GETPIVOTDATA("Jumlah sewa",Bulan!$A$3)</f>
        <v>2049576</v>
      </c>
      <c r="F5" s="10"/>
      <c r="G5" s="13"/>
      <c r="H5" s="13"/>
      <c r="I5" s="12"/>
      <c r="K5" s="11">
        <f>GETPIVOTDATA("Rata-rata sewa",Bulan!$A$3)</f>
        <v>5599.9344262295081</v>
      </c>
      <c r="L5" s="11"/>
      <c r="M5" s="13"/>
    </row>
    <row r="6" spans="5:13" ht="15" customHeight="1" x14ac:dyDescent="0.5">
      <c r="E6" s="10"/>
      <c r="F6" s="10"/>
      <c r="G6" s="13"/>
      <c r="H6" s="13"/>
      <c r="I6" s="12"/>
      <c r="K6" s="11"/>
      <c r="L6" s="11"/>
      <c r="M6" s="13"/>
    </row>
    <row r="50" spans="1:1" x14ac:dyDescent="0.25">
      <c r="A50" s="9" t="s">
        <v>33</v>
      </c>
    </row>
  </sheetData>
  <mergeCells count="4">
    <mergeCell ref="E5:F6"/>
    <mergeCell ref="K5:L6"/>
    <mergeCell ref="G5:H6"/>
    <mergeCell ref="M5:M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FD45E-3A64-4C0E-BC23-70EC53FB8FB4}">
  <dimension ref="A1:H21"/>
  <sheetViews>
    <sheetView workbookViewId="0">
      <selection activeCell="L21" sqref="L21"/>
    </sheetView>
  </sheetViews>
  <sheetFormatPr defaultRowHeight="15" x14ac:dyDescent="0.25"/>
  <cols>
    <col min="1" max="1" width="17.28515625" bestFit="1" customWidth="1"/>
    <col min="2" max="2" width="12.28515625" customWidth="1"/>
    <col min="3" max="3" width="14.140625" customWidth="1"/>
    <col min="4" max="4" width="10.7109375" customWidth="1"/>
    <col min="5" max="5" width="9.5703125" customWidth="1"/>
    <col min="6" max="6" width="1.85546875" customWidth="1"/>
    <col min="7" max="7" width="17.28515625" customWidth="1"/>
    <col min="8" max="8" width="12.28515625" customWidth="1"/>
    <col min="9" max="9" width="9.5703125" customWidth="1"/>
    <col min="10" max="10" width="9.5703125" bestFit="1" customWidth="1"/>
    <col min="11" max="12" width="14.140625" bestFit="1" customWidth="1"/>
    <col min="13" max="13" width="17.28515625" bestFit="1" customWidth="1"/>
  </cols>
  <sheetData>
    <row r="1" spans="1:8" x14ac:dyDescent="0.25">
      <c r="A1" s="6" t="s">
        <v>2</v>
      </c>
      <c r="B1" s="7">
        <v>1</v>
      </c>
      <c r="G1" s="6" t="s">
        <v>2</v>
      </c>
      <c r="H1" s="7">
        <v>1</v>
      </c>
    </row>
    <row r="3" spans="1:8" x14ac:dyDescent="0.25">
      <c r="A3" s="6" t="s">
        <v>27</v>
      </c>
      <c r="B3" t="s">
        <v>29</v>
      </c>
      <c r="C3" t="s">
        <v>30</v>
      </c>
      <c r="D3" t="s">
        <v>31</v>
      </c>
      <c r="E3" t="s">
        <v>32</v>
      </c>
      <c r="G3" s="6" t="s">
        <v>27</v>
      </c>
      <c r="H3" t="s">
        <v>29</v>
      </c>
    </row>
    <row r="4" spans="1:8" x14ac:dyDescent="0.25">
      <c r="A4" s="7">
        <v>1</v>
      </c>
      <c r="B4" s="14">
        <v>96744</v>
      </c>
      <c r="C4" s="14">
        <v>3120.7741935483873</v>
      </c>
      <c r="D4" s="14">
        <v>4521</v>
      </c>
      <c r="E4" s="14">
        <v>1301</v>
      </c>
      <c r="G4" s="7">
        <v>1</v>
      </c>
      <c r="H4" s="14">
        <v>96744</v>
      </c>
    </row>
    <row r="5" spans="1:8" x14ac:dyDescent="0.25">
      <c r="A5" s="7">
        <v>2</v>
      </c>
      <c r="B5" s="14">
        <v>103137</v>
      </c>
      <c r="C5" s="14">
        <v>3556.4482758620688</v>
      </c>
      <c r="D5" s="14">
        <v>5062</v>
      </c>
      <c r="E5" s="14">
        <v>1529</v>
      </c>
      <c r="G5" s="7">
        <v>2</v>
      </c>
      <c r="H5" s="14">
        <v>103137</v>
      </c>
    </row>
    <row r="6" spans="1:8" x14ac:dyDescent="0.25">
      <c r="A6" s="7">
        <v>3</v>
      </c>
      <c r="B6" s="14">
        <v>164875</v>
      </c>
      <c r="C6" s="14">
        <v>5318.5483870967746</v>
      </c>
      <c r="D6" s="14">
        <v>8362</v>
      </c>
      <c r="E6" s="14">
        <v>3194</v>
      </c>
      <c r="G6" s="7">
        <v>3</v>
      </c>
      <c r="H6" s="14">
        <v>164875</v>
      </c>
    </row>
    <row r="7" spans="1:8" x14ac:dyDescent="0.25">
      <c r="A7" s="7">
        <v>4</v>
      </c>
      <c r="B7" s="14">
        <v>174224</v>
      </c>
      <c r="C7" s="14">
        <v>5807.4666666666662</v>
      </c>
      <c r="D7" s="14">
        <v>7460</v>
      </c>
      <c r="E7" s="14">
        <v>1027</v>
      </c>
      <c r="G7" s="7">
        <v>4</v>
      </c>
      <c r="H7" s="14">
        <v>174224</v>
      </c>
    </row>
    <row r="8" spans="1:8" x14ac:dyDescent="0.25">
      <c r="A8" s="7">
        <v>5</v>
      </c>
      <c r="B8" s="14">
        <v>195865</v>
      </c>
      <c r="C8" s="14">
        <v>6318.2258064516127</v>
      </c>
      <c r="D8" s="14">
        <v>8294</v>
      </c>
      <c r="E8" s="14">
        <v>2843</v>
      </c>
      <c r="G8" s="7">
        <v>5</v>
      </c>
      <c r="H8" s="14">
        <v>195865</v>
      </c>
    </row>
    <row r="9" spans="1:8" x14ac:dyDescent="0.25">
      <c r="A9" s="7">
        <v>6</v>
      </c>
      <c r="B9" s="14">
        <v>202830</v>
      </c>
      <c r="C9" s="14">
        <v>6761</v>
      </c>
      <c r="D9" s="14">
        <v>8120</v>
      </c>
      <c r="E9" s="14">
        <v>4127</v>
      </c>
      <c r="G9" s="7">
        <v>6</v>
      </c>
      <c r="H9" s="14">
        <v>202830</v>
      </c>
    </row>
    <row r="10" spans="1:8" x14ac:dyDescent="0.25">
      <c r="A10" s="7">
        <v>7</v>
      </c>
      <c r="B10" s="14">
        <v>203607</v>
      </c>
      <c r="C10" s="14">
        <v>6567.9677419354839</v>
      </c>
      <c r="D10" s="14">
        <v>8173</v>
      </c>
      <c r="E10" s="14">
        <v>4459</v>
      </c>
      <c r="G10" s="7">
        <v>7</v>
      </c>
      <c r="H10" s="14">
        <v>203607</v>
      </c>
    </row>
    <row r="11" spans="1:8" x14ac:dyDescent="0.25">
      <c r="A11" s="7">
        <v>8</v>
      </c>
      <c r="B11" s="14">
        <v>214503</v>
      </c>
      <c r="C11" s="14">
        <v>6919.4516129032254</v>
      </c>
      <c r="D11" s="14">
        <v>7865</v>
      </c>
      <c r="E11" s="14">
        <v>4549</v>
      </c>
      <c r="G11" s="7">
        <v>8</v>
      </c>
      <c r="H11" s="14">
        <v>214503</v>
      </c>
    </row>
    <row r="12" spans="1:8" x14ac:dyDescent="0.25">
      <c r="A12" s="7">
        <v>9</v>
      </c>
      <c r="B12" s="14">
        <v>218573</v>
      </c>
      <c r="C12" s="14">
        <v>7285.7666666666664</v>
      </c>
      <c r="D12" s="14">
        <v>8714</v>
      </c>
      <c r="E12" s="14">
        <v>4073</v>
      </c>
      <c r="G12" s="7">
        <v>9</v>
      </c>
      <c r="H12" s="14">
        <v>218573</v>
      </c>
    </row>
    <row r="13" spans="1:8" x14ac:dyDescent="0.25">
      <c r="A13" s="7">
        <v>10</v>
      </c>
      <c r="B13" s="14">
        <v>198841</v>
      </c>
      <c r="C13" s="14">
        <v>6414.2258064516127</v>
      </c>
      <c r="D13" s="14">
        <v>8156</v>
      </c>
      <c r="E13" s="14">
        <v>22</v>
      </c>
      <c r="G13" s="7">
        <v>10</v>
      </c>
      <c r="H13" s="14">
        <v>198841</v>
      </c>
    </row>
    <row r="14" spans="1:8" x14ac:dyDescent="0.25">
      <c r="A14" s="7">
        <v>11</v>
      </c>
      <c r="B14" s="14">
        <v>152664</v>
      </c>
      <c r="C14" s="14">
        <v>5088.8</v>
      </c>
      <c r="D14" s="14">
        <v>6852</v>
      </c>
      <c r="E14" s="14">
        <v>2277</v>
      </c>
      <c r="G14" s="7">
        <v>11</v>
      </c>
      <c r="H14" s="14">
        <v>152664</v>
      </c>
    </row>
    <row r="15" spans="1:8" x14ac:dyDescent="0.25">
      <c r="A15" s="7">
        <v>12</v>
      </c>
      <c r="B15" s="14">
        <v>123713</v>
      </c>
      <c r="C15" s="14">
        <v>3990.7419354838707</v>
      </c>
      <c r="D15" s="14">
        <v>6606</v>
      </c>
      <c r="E15" s="14">
        <v>441</v>
      </c>
      <c r="G15" s="7">
        <v>12</v>
      </c>
      <c r="H15" s="14">
        <v>123713</v>
      </c>
    </row>
    <row r="16" spans="1:8" x14ac:dyDescent="0.25">
      <c r="A16" s="7" t="s">
        <v>28</v>
      </c>
      <c r="B16" s="14">
        <v>2049576</v>
      </c>
      <c r="C16" s="14">
        <v>5599.9344262295081</v>
      </c>
      <c r="D16" s="14">
        <v>8714</v>
      </c>
      <c r="E16" s="14">
        <v>22</v>
      </c>
      <c r="G16" s="7" t="s">
        <v>28</v>
      </c>
      <c r="H16" s="14">
        <v>2049576</v>
      </c>
    </row>
    <row r="18" spans="1:2" x14ac:dyDescent="0.25">
      <c r="A18" s="6" t="s">
        <v>27</v>
      </c>
      <c r="B18" t="s">
        <v>29</v>
      </c>
    </row>
    <row r="19" spans="1:2" x14ac:dyDescent="0.25">
      <c r="A19" s="7">
        <v>0</v>
      </c>
      <c r="B19" s="14">
        <v>1243103</v>
      </c>
    </row>
    <row r="20" spans="1:2" x14ac:dyDescent="0.25">
      <c r="A20" s="7">
        <v>1</v>
      </c>
      <c r="B20" s="14">
        <v>2049576</v>
      </c>
    </row>
    <row r="21" spans="1:2" x14ac:dyDescent="0.25">
      <c r="A21" s="7" t="s">
        <v>28</v>
      </c>
      <c r="B21" s="14">
        <v>3292679</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3B8EA-A09A-4B42-BE78-910726AA926D}">
  <dimension ref="A1:H20"/>
  <sheetViews>
    <sheetView workbookViewId="0">
      <selection activeCell="J6" sqref="J6"/>
    </sheetView>
  </sheetViews>
  <sheetFormatPr defaultRowHeight="15" x14ac:dyDescent="0.25"/>
  <cols>
    <col min="1" max="1" width="17.28515625" customWidth="1"/>
    <col min="2" max="2" width="12.28515625" customWidth="1"/>
    <col min="3" max="3" width="14.140625" customWidth="1"/>
    <col min="4" max="4" width="10.7109375" customWidth="1"/>
    <col min="5" max="5" width="9.5703125" customWidth="1"/>
    <col min="6" max="6" width="3.42578125" customWidth="1"/>
    <col min="7" max="7" width="17.28515625" customWidth="1"/>
    <col min="8" max="9" width="14.140625" customWidth="1"/>
    <col min="10" max="11" width="9.5703125" bestFit="1" customWidth="1"/>
    <col min="12" max="12" width="7" bestFit="1" customWidth="1"/>
    <col min="13" max="13" width="6" bestFit="1" customWidth="1"/>
    <col min="14" max="14" width="19.42578125" bestFit="1" customWidth="1"/>
    <col min="15" max="17" width="20.42578125" bestFit="1" customWidth="1"/>
  </cols>
  <sheetData>
    <row r="1" spans="1:8" x14ac:dyDescent="0.25">
      <c r="A1" s="6" t="s">
        <v>2</v>
      </c>
      <c r="B1" t="s">
        <v>26</v>
      </c>
      <c r="G1" s="6" t="s">
        <v>2</v>
      </c>
      <c r="H1" s="7">
        <v>1</v>
      </c>
    </row>
    <row r="3" spans="1:8" x14ac:dyDescent="0.25">
      <c r="A3" s="6" t="s">
        <v>27</v>
      </c>
      <c r="B3" t="s">
        <v>29</v>
      </c>
      <c r="C3" t="s">
        <v>30</v>
      </c>
      <c r="D3" t="s">
        <v>31</v>
      </c>
      <c r="E3" t="s">
        <v>32</v>
      </c>
      <c r="G3" s="6" t="s">
        <v>27</v>
      </c>
      <c r="H3" t="s">
        <v>30</v>
      </c>
    </row>
    <row r="4" spans="1:8" x14ac:dyDescent="0.25">
      <c r="A4" s="7">
        <v>1</v>
      </c>
      <c r="B4">
        <v>471348</v>
      </c>
      <c r="C4">
        <v>2604.1325966850827</v>
      </c>
      <c r="D4">
        <v>7836</v>
      </c>
      <c r="E4">
        <v>431</v>
      </c>
      <c r="G4" s="7">
        <v>1</v>
      </c>
      <c r="H4" s="14">
        <v>3531.2967032967031</v>
      </c>
    </row>
    <row r="5" spans="1:8" x14ac:dyDescent="0.25">
      <c r="A5" s="8">
        <v>1</v>
      </c>
      <c r="B5">
        <v>312036</v>
      </c>
      <c r="C5">
        <v>2811.135135135135</v>
      </c>
      <c r="D5">
        <v>6312</v>
      </c>
      <c r="E5">
        <v>431</v>
      </c>
      <c r="G5" s="7">
        <v>2</v>
      </c>
      <c r="H5" s="14">
        <v>6209.489130434783</v>
      </c>
    </row>
    <row r="6" spans="1:8" x14ac:dyDescent="0.25">
      <c r="A6" s="8">
        <v>2</v>
      </c>
      <c r="B6">
        <v>155573</v>
      </c>
      <c r="C6">
        <v>2357.1666666666665</v>
      </c>
      <c r="D6">
        <v>7836</v>
      </c>
      <c r="E6">
        <v>605</v>
      </c>
      <c r="G6" s="7">
        <v>3</v>
      </c>
      <c r="H6" s="14">
        <v>6824.244680851064</v>
      </c>
    </row>
    <row r="7" spans="1:8" x14ac:dyDescent="0.25">
      <c r="A7" s="8">
        <v>3</v>
      </c>
      <c r="B7">
        <v>3739</v>
      </c>
      <c r="C7">
        <v>934.75</v>
      </c>
      <c r="D7">
        <v>2169</v>
      </c>
      <c r="E7">
        <v>441</v>
      </c>
      <c r="G7" s="7">
        <v>4</v>
      </c>
      <c r="H7" s="14">
        <v>5791.8651685393261</v>
      </c>
    </row>
    <row r="8" spans="1:8" x14ac:dyDescent="0.25">
      <c r="A8" s="7">
        <v>2</v>
      </c>
      <c r="B8">
        <v>918589</v>
      </c>
      <c r="C8">
        <v>4992.33152173913</v>
      </c>
      <c r="D8">
        <v>8362</v>
      </c>
      <c r="E8">
        <v>795</v>
      </c>
      <c r="G8" s="7" t="s">
        <v>28</v>
      </c>
      <c r="H8" s="14">
        <v>5599.9344262295081</v>
      </c>
    </row>
    <row r="9" spans="1:8" x14ac:dyDescent="0.25">
      <c r="A9" s="8">
        <v>1</v>
      </c>
      <c r="B9">
        <v>626986</v>
      </c>
      <c r="C9">
        <v>5548.5486725663714</v>
      </c>
      <c r="D9">
        <v>8294</v>
      </c>
      <c r="E9">
        <v>2028</v>
      </c>
    </row>
    <row r="10" spans="1:8" x14ac:dyDescent="0.25">
      <c r="A10" s="8">
        <v>2</v>
      </c>
      <c r="B10">
        <v>288096</v>
      </c>
      <c r="C10">
        <v>4236.7058823529414</v>
      </c>
      <c r="D10">
        <v>8362</v>
      </c>
      <c r="E10">
        <v>1471</v>
      </c>
    </row>
    <row r="11" spans="1:8" x14ac:dyDescent="0.25">
      <c r="A11" s="8">
        <v>3</v>
      </c>
      <c r="B11">
        <v>3507</v>
      </c>
      <c r="C11">
        <v>1169</v>
      </c>
      <c r="D11">
        <v>1685</v>
      </c>
      <c r="E11">
        <v>795</v>
      </c>
    </row>
    <row r="12" spans="1:8" x14ac:dyDescent="0.25">
      <c r="A12" s="7">
        <v>3</v>
      </c>
      <c r="B12">
        <v>1061129</v>
      </c>
      <c r="C12">
        <v>5644.3031914893618</v>
      </c>
      <c r="D12">
        <v>8714</v>
      </c>
      <c r="E12">
        <v>1115</v>
      </c>
    </row>
    <row r="13" spans="1:8" x14ac:dyDescent="0.25">
      <c r="A13" s="8">
        <v>1</v>
      </c>
      <c r="B13">
        <v>799443</v>
      </c>
      <c r="C13">
        <v>5878.2573529411766</v>
      </c>
      <c r="D13">
        <v>8714</v>
      </c>
      <c r="E13">
        <v>3285</v>
      </c>
    </row>
    <row r="14" spans="1:8" x14ac:dyDescent="0.25">
      <c r="A14" s="8">
        <v>2</v>
      </c>
      <c r="B14">
        <v>250679</v>
      </c>
      <c r="C14">
        <v>5222.479166666667</v>
      </c>
      <c r="D14">
        <v>7582</v>
      </c>
      <c r="E14">
        <v>1115</v>
      </c>
    </row>
    <row r="15" spans="1:8" x14ac:dyDescent="0.25">
      <c r="A15" s="8">
        <v>3</v>
      </c>
      <c r="B15">
        <v>11007</v>
      </c>
      <c r="C15">
        <v>2751.75</v>
      </c>
      <c r="D15">
        <v>4459</v>
      </c>
      <c r="E15">
        <v>1842</v>
      </c>
    </row>
    <row r="16" spans="1:8" x14ac:dyDescent="0.25">
      <c r="A16" s="7">
        <v>4</v>
      </c>
      <c r="B16">
        <v>841613</v>
      </c>
      <c r="C16">
        <v>4728.1629213483147</v>
      </c>
      <c r="D16">
        <v>8555</v>
      </c>
      <c r="E16">
        <v>22</v>
      </c>
    </row>
    <row r="17" spans="1:5" x14ac:dyDescent="0.25">
      <c r="A17" s="8">
        <v>1</v>
      </c>
      <c r="B17">
        <v>519487</v>
      </c>
      <c r="C17">
        <v>5043.5631067961167</v>
      </c>
      <c r="D17">
        <v>8555</v>
      </c>
      <c r="E17">
        <v>1495</v>
      </c>
    </row>
    <row r="18" spans="1:5" x14ac:dyDescent="0.25">
      <c r="A18" s="8">
        <v>2</v>
      </c>
      <c r="B18">
        <v>302510</v>
      </c>
      <c r="C18">
        <v>4654</v>
      </c>
      <c r="D18">
        <v>7852</v>
      </c>
      <c r="E18">
        <v>1096</v>
      </c>
    </row>
    <row r="19" spans="1:5" x14ac:dyDescent="0.25">
      <c r="A19" s="8">
        <v>3</v>
      </c>
      <c r="B19">
        <v>19616</v>
      </c>
      <c r="C19">
        <v>1961.6</v>
      </c>
      <c r="D19">
        <v>4639</v>
      </c>
      <c r="E19">
        <v>22</v>
      </c>
    </row>
    <row r="20" spans="1:5" x14ac:dyDescent="0.25">
      <c r="A20" s="7" t="s">
        <v>28</v>
      </c>
      <c r="B20">
        <v>3292679</v>
      </c>
      <c r="C20">
        <v>4504.3488372093025</v>
      </c>
      <c r="D20">
        <v>8714</v>
      </c>
      <c r="E20">
        <v>22</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E3515-E609-4436-8E9E-688E317AED7F}">
  <dimension ref="A1:H23"/>
  <sheetViews>
    <sheetView workbookViewId="0">
      <selection activeCell="G7" sqref="G7"/>
    </sheetView>
  </sheetViews>
  <sheetFormatPr defaultRowHeight="15" x14ac:dyDescent="0.25"/>
  <cols>
    <col min="1" max="1" width="17.28515625" customWidth="1"/>
    <col min="2" max="2" width="12.28515625" customWidth="1"/>
    <col min="3" max="3" width="14.140625" customWidth="1"/>
    <col min="4" max="4" width="10.7109375" customWidth="1"/>
    <col min="5" max="5" width="9.5703125" customWidth="1"/>
    <col min="6" max="6" width="2.28515625" customWidth="1"/>
    <col min="7" max="7" width="17.28515625" customWidth="1"/>
    <col min="8" max="9" width="14.140625" customWidth="1"/>
    <col min="10" max="11" width="9.5703125" bestFit="1" customWidth="1"/>
    <col min="12" max="13" width="5" bestFit="1" customWidth="1"/>
    <col min="14" max="14" width="17.42578125" bestFit="1" customWidth="1"/>
    <col min="15" max="15" width="19.140625" bestFit="1" customWidth="1"/>
    <col min="16" max="16" width="15.7109375" bestFit="1" customWidth="1"/>
    <col min="17" max="17" width="14.5703125" bestFit="1" customWidth="1"/>
  </cols>
  <sheetData>
    <row r="1" spans="1:8" x14ac:dyDescent="0.25">
      <c r="A1" s="6" t="s">
        <v>2</v>
      </c>
      <c r="B1" t="s">
        <v>26</v>
      </c>
      <c r="G1" s="6" t="s">
        <v>2</v>
      </c>
      <c r="H1" s="7">
        <v>1</v>
      </c>
    </row>
    <row r="3" spans="1:8" x14ac:dyDescent="0.25">
      <c r="A3" s="6" t="s">
        <v>27</v>
      </c>
      <c r="B3" t="s">
        <v>29</v>
      </c>
      <c r="C3" t="s">
        <v>30</v>
      </c>
      <c r="D3" t="s">
        <v>31</v>
      </c>
      <c r="E3" t="s">
        <v>32</v>
      </c>
      <c r="G3" s="6" t="s">
        <v>27</v>
      </c>
      <c r="H3" t="s">
        <v>30</v>
      </c>
    </row>
    <row r="4" spans="1:8" x14ac:dyDescent="0.25">
      <c r="A4" s="7">
        <v>0</v>
      </c>
      <c r="B4">
        <v>444027</v>
      </c>
      <c r="C4">
        <v>4228.8285714285712</v>
      </c>
      <c r="D4">
        <v>8227</v>
      </c>
      <c r="E4">
        <v>605</v>
      </c>
      <c r="G4" s="7">
        <v>0</v>
      </c>
      <c r="H4" s="14">
        <v>5036.8490566037735</v>
      </c>
    </row>
    <row r="5" spans="1:8" x14ac:dyDescent="0.25">
      <c r="A5" s="8">
        <v>0</v>
      </c>
      <c r="B5">
        <v>444027</v>
      </c>
      <c r="C5">
        <v>4228.8285714285712</v>
      </c>
      <c r="D5">
        <v>8227</v>
      </c>
      <c r="E5">
        <v>605</v>
      </c>
      <c r="G5" s="7">
        <v>1</v>
      </c>
      <c r="H5" s="14">
        <v>5194</v>
      </c>
    </row>
    <row r="6" spans="1:8" x14ac:dyDescent="0.25">
      <c r="A6" s="7">
        <v>1</v>
      </c>
      <c r="B6">
        <v>455503</v>
      </c>
      <c r="C6">
        <v>4338.1238095238095</v>
      </c>
      <c r="D6">
        <v>7525</v>
      </c>
      <c r="E6">
        <v>22</v>
      </c>
      <c r="G6" s="7">
        <v>2</v>
      </c>
      <c r="H6" s="14">
        <v>5553.2884615384619</v>
      </c>
    </row>
    <row r="7" spans="1:8" x14ac:dyDescent="0.25">
      <c r="A7" s="8">
        <v>0</v>
      </c>
      <c r="B7">
        <v>59605</v>
      </c>
      <c r="C7">
        <v>3973.6666666666665</v>
      </c>
      <c r="D7">
        <v>6370</v>
      </c>
      <c r="E7">
        <v>1000</v>
      </c>
      <c r="G7" s="7">
        <v>3</v>
      </c>
      <c r="H7" s="14">
        <v>5843.8269230769229</v>
      </c>
    </row>
    <row r="8" spans="1:8" x14ac:dyDescent="0.25">
      <c r="A8" s="8">
        <v>1</v>
      </c>
      <c r="B8">
        <v>395898</v>
      </c>
      <c r="C8">
        <v>4398.8666666666668</v>
      </c>
      <c r="D8">
        <v>7525</v>
      </c>
      <c r="E8">
        <v>22</v>
      </c>
      <c r="G8" s="7">
        <v>4</v>
      </c>
      <c r="H8" s="14">
        <v>5977.75</v>
      </c>
    </row>
    <row r="9" spans="1:8" x14ac:dyDescent="0.25">
      <c r="A9" s="7">
        <v>2</v>
      </c>
      <c r="B9">
        <v>469109</v>
      </c>
      <c r="C9">
        <v>4510.6634615384619</v>
      </c>
      <c r="D9">
        <v>7767</v>
      </c>
      <c r="E9">
        <v>683</v>
      </c>
      <c r="G9" s="7">
        <v>5</v>
      </c>
      <c r="H9" s="14">
        <v>5880.4615384615381</v>
      </c>
    </row>
    <row r="10" spans="1:8" x14ac:dyDescent="0.25">
      <c r="A10" s="8">
        <v>0</v>
      </c>
      <c r="B10">
        <v>1013</v>
      </c>
      <c r="C10">
        <v>1013</v>
      </c>
      <c r="D10">
        <v>1013</v>
      </c>
      <c r="E10">
        <v>1013</v>
      </c>
      <c r="G10" s="7">
        <v>6</v>
      </c>
      <c r="H10" s="14">
        <v>5732</v>
      </c>
    </row>
    <row r="11" spans="1:8" x14ac:dyDescent="0.25">
      <c r="A11" s="8">
        <v>1</v>
      </c>
      <c r="B11">
        <v>468096</v>
      </c>
      <c r="C11">
        <v>4544.6213592233007</v>
      </c>
      <c r="D11">
        <v>7767</v>
      </c>
      <c r="E11">
        <v>683</v>
      </c>
      <c r="G11" s="7" t="s">
        <v>28</v>
      </c>
      <c r="H11" s="14">
        <v>5599.9344262295081</v>
      </c>
    </row>
    <row r="12" spans="1:8" x14ac:dyDescent="0.25">
      <c r="A12" s="7">
        <v>3</v>
      </c>
      <c r="B12">
        <v>473048</v>
      </c>
      <c r="C12">
        <v>4548.5384615384619</v>
      </c>
      <c r="D12">
        <v>8173</v>
      </c>
      <c r="E12">
        <v>441</v>
      </c>
    </row>
    <row r="13" spans="1:8" x14ac:dyDescent="0.25">
      <c r="A13" s="8">
        <v>0</v>
      </c>
      <c r="B13">
        <v>7403</v>
      </c>
      <c r="C13">
        <v>7403</v>
      </c>
      <c r="D13">
        <v>7403</v>
      </c>
      <c r="E13">
        <v>7403</v>
      </c>
    </row>
    <row r="14" spans="1:8" x14ac:dyDescent="0.25">
      <c r="A14" s="8">
        <v>1</v>
      </c>
      <c r="B14">
        <v>465645</v>
      </c>
      <c r="C14">
        <v>4520.825242718447</v>
      </c>
      <c r="D14">
        <v>8173</v>
      </c>
      <c r="E14">
        <v>441</v>
      </c>
    </row>
    <row r="15" spans="1:8" x14ac:dyDescent="0.25">
      <c r="A15" s="7">
        <v>4</v>
      </c>
      <c r="B15">
        <v>485395</v>
      </c>
      <c r="C15">
        <v>4667.2596153846152</v>
      </c>
      <c r="D15">
        <v>7804</v>
      </c>
      <c r="E15">
        <v>431</v>
      </c>
    </row>
    <row r="16" spans="1:8" x14ac:dyDescent="0.25">
      <c r="A16" s="8">
        <v>0</v>
      </c>
      <c r="B16">
        <v>3920</v>
      </c>
      <c r="C16">
        <v>1960</v>
      </c>
      <c r="D16">
        <v>2425</v>
      </c>
      <c r="E16">
        <v>1495</v>
      </c>
    </row>
    <row r="17" spans="1:5" x14ac:dyDescent="0.25">
      <c r="A17" s="8">
        <v>1</v>
      </c>
      <c r="B17">
        <v>481475</v>
      </c>
      <c r="C17">
        <v>4720.3431372549021</v>
      </c>
      <c r="D17">
        <v>7804</v>
      </c>
      <c r="E17">
        <v>431</v>
      </c>
    </row>
    <row r="18" spans="1:5" x14ac:dyDescent="0.25">
      <c r="A18" s="7">
        <v>5</v>
      </c>
      <c r="B18">
        <v>487790</v>
      </c>
      <c r="C18">
        <v>4690.2884615384619</v>
      </c>
      <c r="D18">
        <v>8362</v>
      </c>
      <c r="E18">
        <v>1167</v>
      </c>
    </row>
    <row r="19" spans="1:5" x14ac:dyDescent="0.25">
      <c r="A19" s="8">
        <v>0</v>
      </c>
      <c r="B19">
        <v>6494</v>
      </c>
      <c r="C19">
        <v>3247</v>
      </c>
      <c r="D19">
        <v>3368</v>
      </c>
      <c r="E19">
        <v>3126</v>
      </c>
    </row>
    <row r="20" spans="1:5" x14ac:dyDescent="0.25">
      <c r="A20" s="8">
        <v>1</v>
      </c>
      <c r="B20">
        <v>481296</v>
      </c>
      <c r="C20">
        <v>4718.588235294118</v>
      </c>
      <c r="D20">
        <v>8362</v>
      </c>
      <c r="E20">
        <v>1167</v>
      </c>
    </row>
    <row r="21" spans="1:5" x14ac:dyDescent="0.25">
      <c r="A21" s="7">
        <v>6</v>
      </c>
      <c r="B21">
        <v>477807</v>
      </c>
      <c r="C21">
        <v>4550.5428571428574</v>
      </c>
      <c r="D21">
        <v>8714</v>
      </c>
      <c r="E21">
        <v>627</v>
      </c>
    </row>
    <row r="22" spans="1:5" x14ac:dyDescent="0.25">
      <c r="A22" s="8">
        <v>0</v>
      </c>
      <c r="B22">
        <v>477807</v>
      </c>
      <c r="C22">
        <v>4550.5428571428574</v>
      </c>
      <c r="D22">
        <v>8714</v>
      </c>
      <c r="E22">
        <v>627</v>
      </c>
    </row>
    <row r="23" spans="1:5" x14ac:dyDescent="0.25">
      <c r="A23" s="7" t="s">
        <v>28</v>
      </c>
      <c r="B23">
        <v>3292679</v>
      </c>
      <c r="C23">
        <v>4504.3488372093025</v>
      </c>
      <c r="D23">
        <v>8714</v>
      </c>
      <c r="E23">
        <v>22</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522B9-0C86-41BA-A9DE-5A198C49A9A2}">
  <dimension ref="A3:P19"/>
  <sheetViews>
    <sheetView topLeftCell="A2" workbookViewId="0">
      <selection activeCell="L15" sqref="L15"/>
    </sheetView>
  </sheetViews>
  <sheetFormatPr defaultRowHeight="15" x14ac:dyDescent="0.25"/>
  <cols>
    <col min="1" max="1" width="9.85546875" customWidth="1"/>
    <col min="2" max="2" width="9.7109375" customWidth="1"/>
    <col min="4" max="4" width="10" customWidth="1"/>
    <col min="7" max="7" width="11" customWidth="1"/>
    <col min="8" max="8" width="11.28515625" customWidth="1"/>
    <col min="12" max="12" width="4.140625" customWidth="1"/>
  </cols>
  <sheetData>
    <row r="3" spans="1:16" x14ac:dyDescent="0.25">
      <c r="A3" t="s">
        <v>20</v>
      </c>
      <c r="B3" t="s">
        <v>15</v>
      </c>
      <c r="C3" t="s">
        <v>16</v>
      </c>
      <c r="D3" t="s">
        <v>17</v>
      </c>
      <c r="E3" t="s">
        <v>18</v>
      </c>
      <c r="F3" t="s">
        <v>19</v>
      </c>
      <c r="G3" t="s">
        <v>21</v>
      </c>
      <c r="H3" t="s">
        <v>22</v>
      </c>
      <c r="I3" t="s">
        <v>25</v>
      </c>
      <c r="J3" t="s">
        <v>23</v>
      </c>
      <c r="K3" t="s">
        <v>24</v>
      </c>
      <c r="M3" s="4" t="s">
        <v>20</v>
      </c>
      <c r="N3" s="4" t="s">
        <v>25</v>
      </c>
      <c r="O3" s="4" t="s">
        <v>23</v>
      </c>
      <c r="P3" s="4" t="s">
        <v>24</v>
      </c>
    </row>
    <row r="4" spans="1:16" x14ac:dyDescent="0.25">
      <c r="A4">
        <v>1</v>
      </c>
      <c r="B4">
        <v>2918</v>
      </c>
      <c r="C4">
        <v>5464</v>
      </c>
      <c r="D4">
        <v>4334</v>
      </c>
      <c r="E4">
        <v>8227</v>
      </c>
      <c r="F4">
        <v>605</v>
      </c>
      <c r="G4">
        <f>Tabel3[[#This Row],[Q1]]-Tabel3[[#This Row],[min]]</f>
        <v>2313</v>
      </c>
      <c r="H4">
        <f>Tabel3[[#This Row],[max]]-Tabel3[[#This Row],[Q3]]</f>
        <v>2763</v>
      </c>
      <c r="I4">
        <v>2918</v>
      </c>
      <c r="J4">
        <f>Tabel3[[#This Row],[Median]]-Tabel3[[#This Row],[Q1]]</f>
        <v>1416</v>
      </c>
      <c r="K4">
        <f>Tabel3[[#This Row],[Q3]]-Tabel3[[#This Row],[Median]]</f>
        <v>1130</v>
      </c>
      <c r="M4" s="2">
        <v>0</v>
      </c>
      <c r="N4" s="2">
        <v>2918</v>
      </c>
      <c r="O4" s="2">
        <v>1416</v>
      </c>
      <c r="P4" s="2">
        <v>1130</v>
      </c>
    </row>
    <row r="5" spans="1:16" x14ac:dyDescent="0.25">
      <c r="A5">
        <v>2</v>
      </c>
      <c r="B5">
        <v>3310</v>
      </c>
      <c r="C5">
        <v>5875</v>
      </c>
      <c r="D5">
        <v>4359</v>
      </c>
      <c r="E5">
        <v>7525</v>
      </c>
      <c r="F5">
        <v>22</v>
      </c>
      <c r="G5">
        <f>Tabel3[[#This Row],[Q1]]-Tabel3[[#This Row],[min]]</f>
        <v>3288</v>
      </c>
      <c r="H5">
        <f>Tabel3[[#This Row],[max]]-Tabel3[[#This Row],[Q3]]</f>
        <v>1650</v>
      </c>
      <c r="I5">
        <v>3310</v>
      </c>
      <c r="J5">
        <f>Tabel3[[#This Row],[Median]]-Tabel3[[#This Row],[Q1]]</f>
        <v>1049</v>
      </c>
      <c r="K5">
        <f>Tabel3[[#This Row],[Q3]]-Tabel3[[#This Row],[Median]]</f>
        <v>1516</v>
      </c>
      <c r="M5" s="3">
        <v>1</v>
      </c>
      <c r="N5" s="3">
        <v>3310</v>
      </c>
      <c r="O5" s="3">
        <v>1049</v>
      </c>
      <c r="P5" s="3">
        <v>1516</v>
      </c>
    </row>
    <row r="6" spans="1:16" x14ac:dyDescent="0.25">
      <c r="A6">
        <v>3</v>
      </c>
      <c r="B6">
        <v>3579.25</v>
      </c>
      <c r="C6">
        <v>5769</v>
      </c>
      <c r="D6">
        <v>4576.5</v>
      </c>
      <c r="E6">
        <v>7767</v>
      </c>
      <c r="F6">
        <v>683</v>
      </c>
      <c r="G6">
        <f>Tabel3[[#This Row],[Q1]]-Tabel3[[#This Row],[min]]</f>
        <v>2896.25</v>
      </c>
      <c r="H6">
        <f>Tabel3[[#This Row],[max]]-Tabel3[[#This Row],[Q3]]</f>
        <v>1998</v>
      </c>
      <c r="I6">
        <v>3579.25</v>
      </c>
      <c r="J6">
        <f>Tabel3[[#This Row],[Median]]-Tabel3[[#This Row],[Q1]]</f>
        <v>997.25</v>
      </c>
      <c r="K6">
        <f>Tabel3[[#This Row],[Q3]]-Tabel3[[#This Row],[Median]]</f>
        <v>1192.5</v>
      </c>
      <c r="M6" s="2">
        <v>2</v>
      </c>
      <c r="N6" s="2">
        <v>3579.25</v>
      </c>
      <c r="O6" s="2">
        <v>997.25</v>
      </c>
      <c r="P6" s="2">
        <v>1192.5</v>
      </c>
    </row>
    <row r="7" spans="1:16" x14ac:dyDescent="0.25">
      <c r="A7">
        <v>4</v>
      </c>
      <c r="B7">
        <v>2653.25</v>
      </c>
      <c r="C7">
        <v>6175.75</v>
      </c>
      <c r="D7">
        <v>4642.5</v>
      </c>
      <c r="E7">
        <v>8173</v>
      </c>
      <c r="F7">
        <v>441</v>
      </c>
      <c r="G7">
        <f>Tabel3[[#This Row],[Q1]]-Tabel3[[#This Row],[min]]</f>
        <v>2212.25</v>
      </c>
      <c r="H7">
        <f>Tabel3[[#This Row],[max]]-Tabel3[[#This Row],[Q3]]</f>
        <v>1997.25</v>
      </c>
      <c r="I7">
        <v>2653.25</v>
      </c>
      <c r="J7">
        <f>Tabel3[[#This Row],[Median]]-Tabel3[[#This Row],[Q1]]</f>
        <v>1989.25</v>
      </c>
      <c r="K7">
        <f>Tabel3[[#This Row],[Q3]]-Tabel3[[#This Row],[Median]]</f>
        <v>1533.25</v>
      </c>
      <c r="M7" s="3">
        <v>3</v>
      </c>
      <c r="N7" s="3">
        <v>2653.25</v>
      </c>
      <c r="O7" s="3">
        <v>1989.25</v>
      </c>
      <c r="P7" s="3">
        <v>1533.25</v>
      </c>
    </row>
    <row r="8" spans="1:16" x14ac:dyDescent="0.25">
      <c r="A8">
        <v>5</v>
      </c>
      <c r="B8">
        <v>3270.75</v>
      </c>
      <c r="C8">
        <v>6286</v>
      </c>
      <c r="D8">
        <v>4721</v>
      </c>
      <c r="E8">
        <v>7804</v>
      </c>
      <c r="F8">
        <v>431</v>
      </c>
      <c r="G8">
        <f>Tabel3[[#This Row],[Q1]]-Tabel3[[#This Row],[min]]</f>
        <v>2839.75</v>
      </c>
      <c r="H8">
        <f>Tabel3[[#This Row],[max]]-Tabel3[[#This Row],[Q3]]</f>
        <v>1518</v>
      </c>
      <c r="I8">
        <v>3270.75</v>
      </c>
      <c r="J8">
        <f>Tabel3[[#This Row],[Median]]-Tabel3[[#This Row],[Q1]]</f>
        <v>1450.25</v>
      </c>
      <c r="K8">
        <f>Tabel3[[#This Row],[Q3]]-Tabel3[[#This Row],[Median]]</f>
        <v>1565</v>
      </c>
      <c r="M8" s="2">
        <v>4</v>
      </c>
      <c r="N8" s="2">
        <v>3270.75</v>
      </c>
      <c r="O8" s="2">
        <v>1450.25</v>
      </c>
      <c r="P8" s="2">
        <v>1565</v>
      </c>
    </row>
    <row r="9" spans="1:16" x14ac:dyDescent="0.25">
      <c r="A9">
        <v>6</v>
      </c>
      <c r="B9">
        <v>3390.75</v>
      </c>
      <c r="C9">
        <v>5900.5</v>
      </c>
      <c r="D9">
        <v>4601.5</v>
      </c>
      <c r="E9">
        <v>8362</v>
      </c>
      <c r="F9">
        <v>1167</v>
      </c>
      <c r="G9">
        <f>Tabel3[[#This Row],[Q1]]-Tabel3[[#This Row],[min]]</f>
        <v>2223.75</v>
      </c>
      <c r="H9">
        <f>Tabel3[[#This Row],[max]]-Tabel3[[#This Row],[Q3]]</f>
        <v>2461.5</v>
      </c>
      <c r="I9">
        <v>3390.75</v>
      </c>
      <c r="J9">
        <f>Tabel3[[#This Row],[Median]]-Tabel3[[#This Row],[Q1]]</f>
        <v>1210.75</v>
      </c>
      <c r="K9">
        <f>Tabel3[[#This Row],[Q3]]-Tabel3[[#This Row],[Median]]</f>
        <v>1299</v>
      </c>
      <c r="M9" s="3">
        <v>5</v>
      </c>
      <c r="N9" s="3">
        <v>3390.75</v>
      </c>
      <c r="O9" s="3">
        <v>1210.75</v>
      </c>
      <c r="P9" s="3">
        <v>1299</v>
      </c>
    </row>
    <row r="10" spans="1:16" x14ac:dyDescent="0.25">
      <c r="A10">
        <v>7</v>
      </c>
      <c r="B10">
        <v>2732</v>
      </c>
      <c r="C10">
        <v>6140</v>
      </c>
      <c r="D10">
        <v>4521</v>
      </c>
      <c r="E10">
        <v>8714</v>
      </c>
      <c r="F10">
        <v>627</v>
      </c>
      <c r="G10">
        <f>Tabel3[[#This Row],[Q1]]-Tabel3[[#This Row],[min]]</f>
        <v>2105</v>
      </c>
      <c r="H10">
        <f>Tabel3[[#This Row],[max]]-Tabel3[[#This Row],[Q3]]</f>
        <v>2574</v>
      </c>
      <c r="I10">
        <v>2732</v>
      </c>
      <c r="J10">
        <f>Tabel3[[#This Row],[Median]]-Tabel3[[#This Row],[Q1]]</f>
        <v>1789</v>
      </c>
      <c r="K10">
        <f>Tabel3[[#This Row],[Q3]]-Tabel3[[#This Row],[Median]]</f>
        <v>1619</v>
      </c>
      <c r="M10" s="5">
        <v>6</v>
      </c>
      <c r="N10" s="5">
        <v>2732</v>
      </c>
      <c r="O10" s="5">
        <v>1789</v>
      </c>
      <c r="P10" s="5">
        <v>1619</v>
      </c>
    </row>
    <row r="12" spans="1:16" x14ac:dyDescent="0.25">
      <c r="A12" s="4" t="s">
        <v>20</v>
      </c>
      <c r="B12" s="4" t="s">
        <v>25</v>
      </c>
      <c r="C12" s="4" t="s">
        <v>23</v>
      </c>
      <c r="D12" s="4" t="s">
        <v>24</v>
      </c>
    </row>
    <row r="13" spans="1:16" x14ac:dyDescent="0.25">
      <c r="A13" s="2">
        <v>0</v>
      </c>
      <c r="B13" s="2">
        <v>2918</v>
      </c>
      <c r="C13" s="2">
        <v>1416</v>
      </c>
      <c r="D13" s="2">
        <v>1130</v>
      </c>
    </row>
    <row r="14" spans="1:16" x14ac:dyDescent="0.25">
      <c r="A14" s="3">
        <v>1</v>
      </c>
      <c r="B14" s="3">
        <v>3310</v>
      </c>
      <c r="C14" s="3">
        <v>1049</v>
      </c>
      <c r="D14" s="3">
        <v>1516</v>
      </c>
    </row>
    <row r="15" spans="1:16" x14ac:dyDescent="0.25">
      <c r="A15" s="2">
        <v>2</v>
      </c>
      <c r="B15" s="2">
        <v>3579.25</v>
      </c>
      <c r="C15" s="2">
        <v>997.25</v>
      </c>
      <c r="D15" s="2">
        <v>1192.5</v>
      </c>
    </row>
    <row r="16" spans="1:16" x14ac:dyDescent="0.25">
      <c r="A16" s="3">
        <v>3</v>
      </c>
      <c r="B16" s="3">
        <v>2653.25</v>
      </c>
      <c r="C16" s="3">
        <v>1989.25</v>
      </c>
      <c r="D16" s="3">
        <v>1533.25</v>
      </c>
    </row>
    <row r="17" spans="1:4" x14ac:dyDescent="0.25">
      <c r="A17" s="2">
        <v>4</v>
      </c>
      <c r="B17" s="2">
        <v>3270.75</v>
      </c>
      <c r="C17" s="2">
        <v>1450.25</v>
      </c>
      <c r="D17" s="2">
        <v>1565</v>
      </c>
    </row>
    <row r="18" spans="1:4" x14ac:dyDescent="0.25">
      <c r="A18" s="3">
        <v>5</v>
      </c>
      <c r="B18" s="3">
        <v>3390.75</v>
      </c>
      <c r="C18" s="3">
        <v>1210.75</v>
      </c>
      <c r="D18" s="3">
        <v>1299</v>
      </c>
    </row>
    <row r="19" spans="1:4" x14ac:dyDescent="0.25">
      <c r="A19" s="5">
        <v>6</v>
      </c>
      <c r="B19" s="5">
        <v>2732</v>
      </c>
      <c r="C19" s="5">
        <v>1789</v>
      </c>
      <c r="D19" s="5">
        <v>1619</v>
      </c>
    </row>
  </sheetData>
  <pageMargins left="0.7" right="0.7" top="0.75" bottom="0.75" header="0.3" footer="0.3"/>
  <drawing r:id="rId1"/>
  <tableParts count="3">
    <tablePart r:id="rId2"/>
    <tablePart r:id="rId3"/>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08901-34CD-46DB-8557-730922D3DED0}">
  <dimension ref="A1:B7"/>
  <sheetViews>
    <sheetView workbookViewId="0">
      <selection activeCell="B11" sqref="B11"/>
    </sheetView>
  </sheetViews>
  <sheetFormatPr defaultRowHeight="15" x14ac:dyDescent="0.25"/>
  <cols>
    <col min="2" max="2" width="65.140625" customWidth="1"/>
  </cols>
  <sheetData>
    <row r="1" spans="1:2" x14ac:dyDescent="0.25">
      <c r="A1" t="s">
        <v>34</v>
      </c>
      <c r="B1" t="s">
        <v>40</v>
      </c>
    </row>
    <row r="2" spans="1:2" x14ac:dyDescent="0.25">
      <c r="A2" t="s">
        <v>38</v>
      </c>
      <c r="B2" t="s">
        <v>36</v>
      </c>
    </row>
    <row r="3" spans="1:2" x14ac:dyDescent="0.25">
      <c r="A3" t="s">
        <v>39</v>
      </c>
      <c r="B3" t="s">
        <v>37</v>
      </c>
    </row>
    <row r="4" spans="1:2" x14ac:dyDescent="0.25">
      <c r="A4" t="s">
        <v>44</v>
      </c>
      <c r="B4" t="s">
        <v>35</v>
      </c>
    </row>
    <row r="5" spans="1:2" x14ac:dyDescent="0.25">
      <c r="A5" t="s">
        <v>45</v>
      </c>
      <c r="B5" t="s">
        <v>41</v>
      </c>
    </row>
    <row r="6" spans="1:2" x14ac:dyDescent="0.25">
      <c r="A6" t="s">
        <v>46</v>
      </c>
      <c r="B6" t="s">
        <v>42</v>
      </c>
    </row>
    <row r="7" spans="1:2" x14ac:dyDescent="0.25">
      <c r="A7" t="s">
        <v>47</v>
      </c>
      <c r="B7" t="s">
        <v>43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2FD0B2A-8BB6-40AC-A365-7F048B0D39B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Lembar kerja</vt:lpstr>
      </vt:variant>
      <vt:variant>
        <vt:i4>7</vt:i4>
      </vt:variant>
      <vt:variant>
        <vt:lpstr>Rentang Bernama</vt:lpstr>
      </vt:variant>
      <vt:variant>
        <vt:i4>1</vt:i4>
      </vt:variant>
    </vt:vector>
  </HeadingPairs>
  <TitlesOfParts>
    <vt:vector size="8" baseType="lpstr">
      <vt:lpstr>day</vt:lpstr>
      <vt:lpstr>Dashboard</vt:lpstr>
      <vt:lpstr>Bulan</vt:lpstr>
      <vt:lpstr>Musim</vt:lpstr>
      <vt:lpstr>Hari1</vt:lpstr>
      <vt:lpstr>Hari</vt:lpstr>
      <vt:lpstr>Lembar1</vt:lpstr>
      <vt:lpstr>data_jumlah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 NUR MARSHELLA</dc:creator>
  <cp:lastModifiedBy>SRI NUR MARSHELLA</cp:lastModifiedBy>
  <dcterms:created xsi:type="dcterms:W3CDTF">2023-12-10T02:52:30Z</dcterms:created>
  <dcterms:modified xsi:type="dcterms:W3CDTF">2023-12-10T15:53:25Z</dcterms:modified>
</cp:coreProperties>
</file>